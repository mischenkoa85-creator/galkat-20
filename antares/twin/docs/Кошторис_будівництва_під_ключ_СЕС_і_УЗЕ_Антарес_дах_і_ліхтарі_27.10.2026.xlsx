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шторис" sheetId="1" state="visible" r:id="rId3"/>
    <sheet name="Параметри" sheetId="2" state="visible" r:id="rId4"/>
    <sheet name="Ліхтарі" sheetId="3" state="visible" r:id="rId5"/>
    <sheet name="Специфікація — змін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<sst xmlns="http://schemas.openxmlformats.org/spreadsheetml/2006/main" count="363" uniqueCount="263">
  <si>
    <t xml:space="preserve">Кошторис будівництва під ключ — СЕС і УЗЕ 3 × Golen LES-H20, ТОВ МК «Антарес»: дах цеху + модулі на місці ліхтарів + склад (перерахунок 27.10.2026)</t>
  </si>
  <si>
    <t xml:space="preserve">$ без ПДВ. Основа — кошторис 26.10 «варіант 1» (1 925 модулів); колонка «Було 26.10» — для порівняння. Синій — вихідні дані, чорний — формули, зелений — з інших аркушів.</t>
  </si>
  <si>
    <t xml:space="preserve">№</t>
  </si>
  <si>
    <t xml:space="preserve">Позиція</t>
  </si>
  <si>
    <t xml:space="preserve">Од.</t>
  </si>
  <si>
    <t xml:space="preserve">К-сть</t>
  </si>
  <si>
    <t xml:space="preserve">Ціна, $</t>
  </si>
  <si>
    <t xml:space="preserve">Мито</t>
  </si>
  <si>
    <t xml:space="preserve">Сума, $</t>
  </si>
  <si>
    <t xml:space="preserve">Було 26.10, $</t>
  </si>
  <si>
    <t xml:space="preserve">Підстава</t>
  </si>
  <si>
    <t xml:space="preserve">1. Закупівля в Китаї, FOB (на основі КП ES-261026-01)</t>
  </si>
  <si>
    <t xml:space="preserve">1.1</t>
  </si>
  <si>
    <t xml:space="preserve">Накопичувачі Golen LES-H20-1205W500C-PS, 3 × 190 000</t>
  </si>
  <si>
    <t xml:space="preserve">компл</t>
  </si>
  <si>
    <t xml:space="preserve">пільга «245»: 0 %, без ПДВ. Перевірити в Golen допустиму потужність PV на контейнер: було 468, стане 514 кВтп</t>
  </si>
  <si>
    <t xml:space="preserve">1.2</t>
  </si>
  <si>
    <t xml:space="preserve">Фотомодулі ZNSHINE ZXN8-BD132-730, з виводами 1,2–1,4 м</t>
  </si>
  <si>
    <t xml:space="preserve">шт</t>
  </si>
  <si>
    <t xml:space="preserve">модулі × 1,02; 73 $ (КП 26.10); пільга «245»</t>
  </si>
  <si>
    <t xml:space="preserve">1.3.1</t>
  </si>
  <si>
    <t xml:space="preserve">Кріплення даху цеху і складу: лаги, гільзи, шпильки, профілі, кутники, притиски, метизи</t>
  </si>
  <si>
    <t xml:space="preserve">КП 26.10 21 500 $ пропорційно модулям даху і складу (1 815 / 1 925)</t>
  </si>
  <si>
    <t xml:space="preserve">1.3.2</t>
  </si>
  <si>
    <t xml:space="preserve">Кріплення на місці ліхтарів: рейки, притиски, кронштейни</t>
  </si>
  <si>
    <t xml:space="preserve">аркуш «Ліхтарі»</t>
  </si>
  <si>
    <t xml:space="preserve">1.4</t>
  </si>
  <si>
    <t xml:space="preserve">Кабелі DC 1×6, MC4, подовжувачі, металорукав</t>
  </si>
  <si>
    <t xml:space="preserve">КП 26.10 пропорційно стрінгам (192 / 175)</t>
  </si>
  <si>
    <t xml:space="preserve">1.5</t>
  </si>
  <si>
    <t xml:space="preserve">Щити PV 7/1 (робочі + 1 запасний), шафи вводу ШВ — 3, RS485</t>
  </si>
  <si>
    <t xml:space="preserve">КП 26.10 + щити на ліхтарях (1 на ліхтар)</t>
  </si>
  <si>
    <t xml:space="preserve">1.6</t>
  </si>
  <si>
    <t xml:space="preserve">Лінії Al 120/185/240, Cu 50, наконечники</t>
  </si>
  <si>
    <t xml:space="preserve">КП 26.10 пропорційно робочим щитам (30 / 26); траси від торців ліхтарів — уточнити</t>
  </si>
  <si>
    <t xml:space="preserve">1.7</t>
  </si>
  <si>
    <t xml:space="preserve">Лотки, кришки, фасонні, траверси, кріплення</t>
  </si>
  <si>
    <t xml:space="preserve">КП 26.10 пропорційно стрінгам</t>
  </si>
  <si>
    <t xml:space="preserve">1.8</t>
  </si>
  <si>
    <t xml:space="preserve">Блискавкозахист: ПЗІП, провідники, затискачі</t>
  </si>
  <si>
    <t xml:space="preserve">КП 26.10; каркаси на ліхтарях приєднати до мережі БЗ</t>
  </si>
  <si>
    <t xml:space="preserve">1.9</t>
  </si>
  <si>
    <t xml:space="preserve">Підключення УЗЕ: шафи ЩР-УЗЕ(AC), наконечники AC, заземлення, зв'язок</t>
  </si>
  <si>
    <t xml:space="preserve">КП 26.10</t>
  </si>
  <si>
    <t xml:space="preserve">Разом закупівля в Китаї</t>
  </si>
  <si>
    <t xml:space="preserve">2. Наша комісія — супровід замовлення за договором комісії</t>
  </si>
  <si>
    <t xml:space="preserve">2.1</t>
  </si>
  <si>
    <t xml:space="preserve">Комісія від закупівлі в Китаї</t>
  </si>
  <si>
    <t xml:space="preserve">5 %: 70 % одразу, 30 % після прибуття</t>
  </si>
  <si>
    <t xml:space="preserve">Разом комісія</t>
  </si>
  <si>
    <t xml:space="preserve">3. Доставка до об'єкта, страхування, митне оформлення, мито</t>
  </si>
  <si>
    <t xml:space="preserve">3.1</t>
  </si>
  <si>
    <t xml:space="preserve">Контейнери УЗЕ Golen: море, авто, страхування, митне оформлення</t>
  </si>
  <si>
    <t xml:space="preserve">конт.</t>
  </si>
  <si>
    <t xml:space="preserve">по 15 000 $</t>
  </si>
  <si>
    <t xml:space="preserve">3.2</t>
  </si>
  <si>
    <t xml:space="preserve">Контейнери 40'HQ з модулями</t>
  </si>
  <si>
    <t xml:space="preserve">модулі по 594 у 40'HQ</t>
  </si>
  <si>
    <t xml:space="preserve">3.3</t>
  </si>
  <si>
    <t xml:space="preserve">Контейнери 40'HQ з кріпленням, кабелями, щитами, лотками</t>
  </si>
  <si>
    <t xml:space="preserve">33,7 т, 90 м³ (26.10); рейки ліхтарів ≈1 т — вміщаються</t>
  </si>
  <si>
    <t xml:space="preserve">3.4</t>
  </si>
  <si>
    <t xml:space="preserve">Страхування вантажу, крім УЗЕ</t>
  </si>
  <si>
    <t xml:space="preserve">від вартості товару</t>
  </si>
  <si>
    <t xml:space="preserve">3.5</t>
  </si>
  <si>
    <t xml:space="preserve">Митний брокер, декларації</t>
  </si>
  <si>
    <t xml:space="preserve">3.6</t>
  </si>
  <si>
    <t xml:space="preserve">Мито на товари, крім модулів і УЗЕ (пільга «245»)</t>
  </si>
  <si>
    <t xml:space="preserve">ставки за кодами УКТ ЗЕД; база — митна вартість з доставкою</t>
  </si>
  <si>
    <t xml:space="preserve">Разом доставка і мито</t>
  </si>
  <si>
    <t xml:space="preserve">4. Купуємо в Україні</t>
  </si>
  <si>
    <t xml:space="preserve">4.1</t>
  </si>
  <si>
    <t xml:space="preserve">Баластний блок 300×300×60 з муфтою і матом — під лаги і кінці лаг</t>
  </si>
  <si>
    <t xml:space="preserve">Том 3 КМ (4 756 на 1 749 модулів даху) пропорційно модулям даху</t>
  </si>
  <si>
    <t xml:space="preserve">4.2</t>
  </si>
  <si>
    <t xml:space="preserve">Баластний блок — під крайні профілі</t>
  </si>
  <si>
    <t xml:space="preserve">те саме</t>
  </si>
  <si>
    <t xml:space="preserve">4.3</t>
  </si>
  <si>
    <t xml:space="preserve">Баластний блок — опори лотків</t>
  </si>
  <si>
    <t xml:space="preserve">Том 3 КМ</t>
  </si>
  <si>
    <t xml:space="preserve">4.4</t>
  </si>
  <si>
    <t xml:space="preserve">Баластний блок — рами щитів PV на даху (23 × 4)</t>
  </si>
  <si>
    <t xml:space="preserve">щити на ліхтарях — на каркасі, без баласту</t>
  </si>
  <si>
    <t xml:space="preserve">4.5</t>
  </si>
  <si>
    <t xml:space="preserve">Баластні блоки до замовлення, +1 %</t>
  </si>
  <si>
    <t xml:space="preserve">3 $ за блок</t>
  </si>
  <si>
    <t xml:space="preserve">4.6</t>
  </si>
  <si>
    <t xml:space="preserve">Кабель ВВГнг 1×120 мм², мідь — AC контейнери → ТП-5913</t>
  </si>
  <si>
    <t xml:space="preserve">м</t>
  </si>
  <si>
    <t xml:space="preserve">Том 8: 2 305,8 м + 10 %</t>
  </si>
  <si>
    <t xml:space="preserve">4.7</t>
  </si>
  <si>
    <t xml:space="preserve">Кабель ВВГнг 1×95 мм², мідь — N і PE</t>
  </si>
  <si>
    <t xml:space="preserve">Том 8: 768,6 м + 10 %</t>
  </si>
  <si>
    <t xml:space="preserve">4.8</t>
  </si>
  <si>
    <t xml:space="preserve">Анкер від сповзання вздовж ліхтарів</t>
  </si>
  <si>
    <t xml:space="preserve">Том 3 КМ; SikaRoof Anchor 250</t>
  </si>
  <si>
    <t xml:space="preserve">4.9</t>
  </si>
  <si>
    <t xml:space="preserve">Доставка матеріалів України на об'єкт</t>
  </si>
  <si>
    <t xml:space="preserve">кошторис 26.10 пропорційно блокам</t>
  </si>
  <si>
    <t xml:space="preserve">Разом купуємо в Україні</t>
  </si>
  <si>
    <t xml:space="preserve">5. Роботи, фундаменти, EMS</t>
  </si>
  <si>
    <t xml:space="preserve">5.1</t>
  </si>
  <si>
    <t xml:space="preserve">Встановлення і наладка СЕС, електромонтажні роботи DC і AC</t>
  </si>
  <si>
    <t xml:space="preserve">кВтп</t>
  </si>
  <si>
    <t xml:space="preserve">50 $/кВт</t>
  </si>
  <si>
    <t xml:space="preserve">5.2</t>
  </si>
  <si>
    <t xml:space="preserve">Механізація: автокран і автовишка</t>
  </si>
  <si>
    <t xml:space="preserve">кошторис 26.10 пропорційно модулям</t>
  </si>
  <si>
    <t xml:space="preserve">5.3</t>
  </si>
  <si>
    <t xml:space="preserve">Фундаменти Фп-1 і майданчики обслуговування, 3 шт.</t>
  </si>
  <si>
    <t xml:space="preserve">Том 8</t>
  </si>
  <si>
    <t xml:space="preserve">5.4</t>
  </si>
  <si>
    <t xml:space="preserve">Заземлення контейнерів</t>
  </si>
  <si>
    <t xml:space="preserve">5.5</t>
  </si>
  <si>
    <t xml:space="preserve">Кабельні траси на ділянці</t>
  </si>
  <si>
    <t xml:space="preserve">5.6</t>
  </si>
  <si>
    <t xml:space="preserve">Прохід кабелів крізь стіну ТП-5913</t>
  </si>
  <si>
    <t xml:space="preserve">5.7</t>
  </si>
  <si>
    <t xml:space="preserve">Встановлення контейнерів</t>
  </si>
  <si>
    <t xml:space="preserve">5.8</t>
  </si>
  <si>
    <t xml:space="preserve">Витратні матеріали, ЗІЗ, вивезення упаковки</t>
  </si>
  <si>
    <t xml:space="preserve">5.9</t>
  </si>
  <si>
    <t xml:space="preserve">EMS об'єкта (E-Systems)</t>
  </si>
  <si>
    <t xml:space="preserve">рішення власника</t>
  </si>
  <si>
    <t xml:space="preserve">5.10</t>
  </si>
  <si>
    <t xml:space="preserve">Розбирання скління ліхтарів і нова покрівля прорізу</t>
  </si>
  <si>
    <t xml:space="preserve">м²</t>
  </si>
  <si>
    <t xml:space="preserve">ціни немає в даних — вписати на аркуші «Параметри»</t>
  </si>
  <si>
    <t xml:space="preserve">Разом роботи, фундаменти, EMS</t>
  </si>
  <si>
    <t xml:space="preserve">СОБІВАРТІСТЬ (розділи 1–5)</t>
  </si>
  <si>
    <t xml:space="preserve">6. Запас і винагорода генпідрядника</t>
  </si>
  <si>
    <t xml:space="preserve">6.1</t>
  </si>
  <si>
    <t xml:space="preserve">Запас</t>
  </si>
  <si>
    <t xml:space="preserve">4 % від собівартості</t>
  </si>
  <si>
    <t xml:space="preserve">6.2</t>
  </si>
  <si>
    <t xml:space="preserve">Винагорода генпідрядника</t>
  </si>
  <si>
    <t xml:space="preserve">18 % від собівартості, без запасу</t>
  </si>
  <si>
    <t xml:space="preserve">Разом запас і винагорода</t>
  </si>
  <si>
    <t xml:space="preserve">РАЗОМ ПІД КЛЮЧ, $ без ПДВ</t>
  </si>
  <si>
    <t xml:space="preserve">ПДВ 20 % на всю суму</t>
  </si>
  <si>
    <t xml:space="preserve">РАЗОМ ПІД КЛЮЧ, $ з ПДВ</t>
  </si>
  <si>
    <t xml:space="preserve">ПДВ 20 %, якщо модулі й накопичувачі ввозяться на замовника за пільгою «245»</t>
  </si>
  <si>
    <t xml:space="preserve">РАЗОМ ПІД КЛЮЧ, $ з ПДВ (з пільгою «245»)</t>
  </si>
  <si>
    <t xml:space="preserve">На 1 кВтп СЕС, $ без ПДВ</t>
  </si>
  <si>
    <t xml:space="preserve">Не входить: вартість розбирання скління ліхтарів і нової покрівлі прорізу (поз. 5.10 — 0, поки немає ціни); підсилення каркаса ліхтарів за КМ; освітлення цеху замість ліхтарів; фасадні модулі (429 шт., окремо).</t>
  </si>
  <si>
    <t xml:space="preserve">Розділи закупівлі в Китаї в кошторисі 26.10 задано сумами, тому кріплення даху, кабелі DC, лотки й лінії перераховано пропорційно (модулям даху і складу, стрінгам, щитам); точні кількості — після оновлення КМ і ЕП під розкладку 27.10.</t>
  </si>
  <si>
    <t xml:space="preserve">Модулі: дах цеху 1 639 (варіант А, v3) + на місці ліхтарів 297 (вертикально, каркас ≈13°) + склад 176 = 2 112 шт., 1 541,76 кВтп; стрінгів 192; щитів PV 7/1 — 30 робочих + 1 запасний.</t>
  </si>
  <si>
    <t xml:space="preserve">Параметри кошторису — перерахунок 27.10.2026</t>
  </si>
  <si>
    <t xml:space="preserve">Синій — вихідні дані (можна змінювати), чорний — формули, жовте тло — потрібна ціна або замір. $ без ПДВ.</t>
  </si>
  <si>
    <t xml:space="preserve">Параметр</t>
  </si>
  <si>
    <t xml:space="preserve">Значення</t>
  </si>
  <si>
    <t xml:space="preserve">Джерело</t>
  </si>
  <si>
    <t xml:space="preserve">Модулів на даху цеху (варіант А, v3)</t>
  </si>
  <si>
    <t xml:space="preserve">розкладка даху за картою опромінення 27.10 (149 стрінгів)</t>
  </si>
  <si>
    <t xml:space="preserve">Модулів на місці ліхтарів (вертикально, каркас ≈13°)</t>
  </si>
  <si>
    <t xml:space="preserve">розкладка 27.10, 20:26 (27 стрінги, зручно для монтажу)</t>
  </si>
  <si>
    <t xml:space="preserve">Модулів на даху складу</t>
  </si>
  <si>
    <t xml:space="preserve">кошторис 26.10 (склад 176)</t>
  </si>
  <si>
    <t xml:space="preserve">Модулів разом</t>
  </si>
  <si>
    <t xml:space="preserve">Потужність СЕС</t>
  </si>
  <si>
    <t xml:space="preserve">730 Вт × модулів</t>
  </si>
  <si>
    <t xml:space="preserve">Модулів до поставки (+2 %)</t>
  </si>
  <si>
    <t xml:space="preserve">запас як у КП 26.10</t>
  </si>
  <si>
    <t xml:space="preserve">Модулів у кошторисі 26.10</t>
  </si>
  <si>
    <t xml:space="preserve">дах 1 749 + склад 176</t>
  </si>
  <si>
    <t xml:space="preserve">Модулів даху в кошторисі 26.10</t>
  </si>
  <si>
    <t xml:space="preserve">кошторис 26.10</t>
  </si>
  <si>
    <t xml:space="preserve">Стрінгів разом</t>
  </si>
  <si>
    <t xml:space="preserve">дах 149 + ліхтарі 27 + склад 16</t>
  </si>
  <si>
    <t xml:space="preserve">Стрінгів у кошторисі 26.10</t>
  </si>
  <si>
    <t xml:space="preserve">1 925 / 11</t>
  </si>
  <si>
    <t xml:space="preserve">Щитів PV 7/1 робочих</t>
  </si>
  <si>
    <t xml:space="preserve">дах і склад 26 (як 26.10) + по 1 на кожен ліхтар (6–7 стрінгів біля торця)</t>
  </si>
  <si>
    <t xml:space="preserve">Щитів PV 7/1 робочих у кошторисі 26.10</t>
  </si>
  <si>
    <t xml:space="preserve">КП 26.10: 26 + 1 запасний</t>
  </si>
  <si>
    <t xml:space="preserve">Щит PV 7/1 + рама</t>
  </si>
  <si>
    <t xml:space="preserve">$</t>
  </si>
  <si>
    <t xml:space="preserve">КП 26.10: щит 420 + рама 17</t>
  </si>
  <si>
    <t xml:space="preserve">Модулів у контейнері 40'HQ</t>
  </si>
  <si>
    <t xml:space="preserve">паспорт ZNSHINE</t>
  </si>
  <si>
    <t xml:space="preserve">Контейнерів 40'HQ з іншим вантажем</t>
  </si>
  <si>
    <t xml:space="preserve">кошторис 26.10: 33,7 т, 90 м³</t>
  </si>
  <si>
    <t xml:space="preserve">Доставка 40'HQ Шанхай → Київ, на об'єкт</t>
  </si>
  <si>
    <t xml:space="preserve">Контейнерів УЗЕ Golen</t>
  </si>
  <si>
    <t xml:space="preserve">КП ES-261026-01</t>
  </si>
  <si>
    <t xml:space="preserve">Доставка контейнера УЗЕ</t>
  </si>
  <si>
    <t xml:space="preserve">рішення власника 26.10</t>
  </si>
  <si>
    <t xml:space="preserve">Страхування вантажу (крім УЗЕ)</t>
  </si>
  <si>
    <t xml:space="preserve">Наша комісія від закупівлі в Китаї</t>
  </si>
  <si>
    <t xml:space="preserve">договір комісії</t>
  </si>
  <si>
    <t xml:space="preserve">Баластний блок з муфтою і матом</t>
  </si>
  <si>
    <t xml:space="preserve">Роботи: встановлення і наладка СЕС, електромонтаж</t>
  </si>
  <si>
    <t xml:space="preserve">$/кВт</t>
  </si>
  <si>
    <t xml:space="preserve">Запас, від собівартості</t>
  </si>
  <si>
    <t xml:space="preserve">Винагорода генпідрядника, від собівартості (без запасу)</t>
  </si>
  <si>
    <t xml:space="preserve">ПДВ</t>
  </si>
  <si>
    <t xml:space="preserve">ПКУ, ст. 193</t>
  </si>
  <si>
    <t xml:space="preserve">Нова покрівля над прорізами ліхтарів</t>
  </si>
  <si>
    <t xml:space="preserve">проліт каркаса 3,1 м (зі слів власника), 13°, без торців — виміряти</t>
  </si>
  <si>
    <t xml:space="preserve">Розбирання скління ліхтарів + нова покрівля прорізу</t>
  </si>
  <si>
    <t xml:space="preserve">$/м²</t>
  </si>
  <si>
    <t xml:space="preserve">немає в даних — вписати ціну</t>
  </si>
  <si>
    <t xml:space="preserve">Кріплення модулів на місці ліхтарів — кількості за розкладкою 27.10 (вертикально, 2 рейки на схил)</t>
  </si>
  <si>
    <t xml:space="preserve">Рейки — в зоні притисків ZNSHINE (540 мм від торців модуля); ціни — КП 26.10 (профіль 41×41 — 1,35 $/м, притиск — 0,50 $); кронштейн — оцінка.</t>
  </si>
  <si>
    <t xml:space="preserve">За розкладкою</t>
  </si>
  <si>
    <t xml:space="preserve">До замовлення</t>
  </si>
  <si>
    <t xml:space="preserve">Л.1</t>
  </si>
  <si>
    <t xml:space="preserve">Рейка — профіль 41×41, уздовж ліхтаря, по 2 на схил</t>
  </si>
  <si>
    <t xml:space="preserve">16 рейок; ряд модулів + 0,1 м з кожного кінця</t>
  </si>
  <si>
    <t xml:space="preserve">Л.2</t>
  </si>
  <si>
    <t xml:space="preserve">Притиск середній Al 6005-T6 (спільний на 2 модулі)</t>
  </si>
  <si>
    <t xml:space="preserve">2 рейки × (модулів у ряду − 1)</t>
  </si>
  <si>
    <t xml:space="preserve">Л.3</t>
  </si>
  <si>
    <t xml:space="preserve">Притиск кінцевий Al 6005-T6</t>
  </si>
  <si>
    <t xml:space="preserve">2 рейки × 2 кінці ряду</t>
  </si>
  <si>
    <t xml:space="preserve">Л.4</t>
  </si>
  <si>
    <t xml:space="preserve">Кронштейн рейки до балки каркаса (кутник з болтами)</t>
  </si>
  <si>
    <t xml:space="preserve">крок кронштейнів — за кроком поперечних балок (виміряти); ціна — оцінка</t>
  </si>
  <si>
    <t xml:space="preserve">Л.5</t>
  </si>
  <si>
    <t xml:space="preserve">Крок кронштейнів уздовж рейки (для Л.4)</t>
  </si>
  <si>
    <t xml:space="preserve">прийнято до замірів каркаса</t>
  </si>
  <si>
    <t xml:space="preserve">Разом кріплення на ліхтарях</t>
  </si>
  <si>
    <t xml:space="preserve">Не входить: розбирання скління, нова покрівля прорізу (Параметри), підсилення каркаса — за перевіркою КМ.</t>
  </si>
  <si>
    <t xml:space="preserve">Специфікація замовлення в Китаї — що змінюється проти 26.10 (1 925 модулів, 117 позицій)</t>
  </si>
  <si>
    <t xml:space="preserve">Повна специфікація 26.10 — у файлі «Специфікація_замовлення_в_Китаї_Антарес_Б_1925_модулів». Тут — позиції, що змінюються; решта — без змін. Пропорційні — до оновлення КМ і ЕП.</t>
  </si>
  <si>
    <t xml:space="preserve">Було 26.10</t>
  </si>
  <si>
    <t xml:space="preserve">Стає</t>
  </si>
  <si>
    <t xml:space="preserve">Як пораховано</t>
  </si>
  <si>
    <t xml:space="preserve">Уточнити</t>
  </si>
  <si>
    <t xml:space="preserve">Модулі ZNSHINE ZXN8-BD132-730, виводи 1,2–1,4 м</t>
  </si>
  <si>
    <t xml:space="preserve">2 112 × 1,02</t>
  </si>
  <si>
    <t xml:space="preserve">доплата за виводи — Golen</t>
  </si>
  <si>
    <t xml:space="preserve">Щит PV 7/1</t>
  </si>
  <si>
    <t xml:space="preserve">дах і склад 26 + ліхтарі 4 (по 1 на ліхтар) + 1 запасний</t>
  </si>
  <si>
    <t xml:space="preserve">місце щита біля торця ліхтаря</t>
  </si>
  <si>
    <t xml:space="preserve">MC4 на корпусах щитів</t>
  </si>
  <si>
    <t xml:space="preserve">пар</t>
  </si>
  <si>
    <t xml:space="preserve">7 на щит</t>
  </si>
  <si>
    <t xml:space="preserve">MC4 на кабелях</t>
  </si>
  <si>
    <t xml:space="preserve">пропорційно стрінгам</t>
  </si>
  <si>
    <t xml:space="preserve">Кабель 1×6 мм² (червоний / чорний)</t>
  </si>
  <si>
    <t xml:space="preserve">4 500 / 5 000</t>
  </si>
  <si>
    <t xml:space="preserve">пропорційно стрінгам, барабани по 500 м</t>
  </si>
  <si>
    <t xml:space="preserve">траси від торців ліхтарів до щитів</t>
  </si>
  <si>
    <t xml:space="preserve">Металорукав</t>
  </si>
  <si>
    <t xml:space="preserve">Лінії Al 120 / 185 / 240 мм²</t>
  </si>
  <si>
    <t xml:space="preserve">942 / 3 214 / 3 532</t>
  </si>
  <si>
    <t xml:space="preserve">пропорційно робочим щитам 30 / 26</t>
  </si>
  <si>
    <t xml:space="preserve">траси 4 нових ліній — у ЕП</t>
  </si>
  <si>
    <t xml:space="preserve">Гільзи лаг</t>
  </si>
  <si>
    <t xml:space="preserve">пропорційно модулям даху 1 639 / 1 749</t>
  </si>
  <si>
    <t xml:space="preserve">КМ</t>
  </si>
  <si>
    <t xml:space="preserve">Шпильки M10 права / ліва різьба</t>
  </si>
  <si>
    <t xml:space="preserve">Кутники 150 мм</t>
  </si>
  <si>
    <t xml:space="preserve">НОВЕ: рейка 41×41 на ліхтарях</t>
  </si>
  <si>
    <t xml:space="preserve">профіль і переріз — у КМ</t>
  </si>
  <si>
    <t xml:space="preserve">НОВЕ: притиск середній Al 6005-T6</t>
  </si>
  <si>
    <t xml:space="preserve">НОВЕ: притиск кінцевий Al 6005-T6</t>
  </si>
  <si>
    <t xml:space="preserve">НОВЕ: кронштейн рейки до балки каркаса</t>
  </si>
  <si>
    <t xml:space="preserve">крок 1,5 м (прийнято)</t>
  </si>
  <si>
    <t xml:space="preserve">крок балок каркаса — виміряти</t>
  </si>
  <si>
    <t xml:space="preserve">Баластні блоки (Україна)</t>
  </si>
  <si>
    <t xml:space="preserve">дах пропорційно модулям, ліхтарі без баласту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</si>
</sst>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##;\(#,##0.##\);\-"/>
    <numFmt numFmtId="166" formatCode="#,##0;\(#,##0\);\-"/>
    <numFmt numFmtId="167" formatCode="0.0%"/>
    <numFmt numFmtId="168" formatCode="#,##0.00;\(#,##0.00\);\-"/>
    <numFmt numFmtId="169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8"/>
      <color rgb="FF5B677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6EBF0"/>
        <bgColor rgb="FFF3F5F7"/>
      </patternFill>
    </fill>
    <fill>
      <patternFill patternType="solid">
        <fgColor rgb="FFF3F5F7"/>
        <bgColor rgb="FFE6EBF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CCD3"/>
      </left>
      <right style="thin">
        <color rgb="FFC4CCD3"/>
      </right>
      <top style="thin">
        <color rgb="FFC4CCD3"/>
      </top>
      <bottom style="thin">
        <color rgb="FFC4CC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CD3"/>
      <rgbColor rgb="FF808080"/>
      <rgbColor rgb="FF9999FF"/>
      <rgbColor rgb="FF993366"/>
      <rgbColor rgb="FFFFFFCC"/>
      <rgbColor rgb="FFE6EB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4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s">
        <v>11</v>
      </c>
      <c r="B5" s="6"/>
      <c r="C5" s="6"/>
      <c r="D5" s="6"/>
      <c r="E5" s="6"/>
      <c r="F5" s="6"/>
      <c r="G5" s="6"/>
      <c r="H5" s="6"/>
      <c r="I5" s="6"/>
    </row>
    <row r="6" customFormat="false" ht="19.4" hidden="false" customHeight="false" outlineLevel="0" collapsed="false">
      <c r="A6" s="7" t="s">
        <v>12</v>
      </c>
      <c r="B6" s="8" t="s">
        <v>13</v>
      </c>
      <c r="C6" s="7" t="s">
        <v>14</v>
      </c>
      <c r="D6" s="9" t="n">
        <v>1</v>
      </c>
      <c r="E6" s="10" t="n">
        <v>570000</v>
      </c>
      <c r="F6" s="11" t="n">
        <v>0</v>
      </c>
      <c r="G6" s="12" t="n">
        <f aca="false">D6*E6</f>
        <v>570000</v>
      </c>
      <c r="H6" s="10" t="n">
        <v>570000</v>
      </c>
      <c r="I6" s="13" t="s">
        <v>15</v>
      </c>
    </row>
    <row r="7" customFormat="false" ht="15" hidden="false" customHeight="false" outlineLevel="0" collapsed="false">
      <c r="A7" s="7" t="s">
        <v>16</v>
      </c>
      <c r="B7" s="8" t="s">
        <v>17</v>
      </c>
      <c r="C7" s="7" t="s">
        <v>18</v>
      </c>
      <c r="D7" s="14" t="n">
        <f aca="false">Параметри!$B$10</f>
        <v>2155</v>
      </c>
      <c r="E7" s="10" t="n">
        <v>73</v>
      </c>
      <c r="F7" s="11" t="n">
        <v>0</v>
      </c>
      <c r="G7" s="12" t="n">
        <f aca="false">D7*E7</f>
        <v>157315</v>
      </c>
      <c r="H7" s="10" t="n">
        <v>143372</v>
      </c>
      <c r="I7" s="13" t="s">
        <v>19</v>
      </c>
    </row>
    <row r="8" customFormat="false" ht="22.35" hidden="false" customHeight="false" outlineLevel="0" collapsed="false">
      <c r="A8" s="7" t="s">
        <v>20</v>
      </c>
      <c r="B8" s="8" t="s">
        <v>21</v>
      </c>
      <c r="C8" s="7" t="s">
        <v>14</v>
      </c>
      <c r="D8" s="9" t="n">
        <v>1</v>
      </c>
      <c r="E8" s="15" t="n">
        <f aca="false">ROUND(21500*(Параметри!$B$5+Параметри!$B$7)/Параметри!$B$11,0)</f>
        <v>20271</v>
      </c>
      <c r="F8" s="11" t="n">
        <v>0.008</v>
      </c>
      <c r="G8" s="12" t="n">
        <f aca="false">D8*E8</f>
        <v>20271</v>
      </c>
      <c r="H8" s="10" t="n">
        <v>21500</v>
      </c>
      <c r="I8" s="13" t="s">
        <v>22</v>
      </c>
    </row>
    <row r="9" customFormat="false" ht="15" hidden="false" customHeight="false" outlineLevel="0" collapsed="false">
      <c r="A9" s="7" t="s">
        <v>23</v>
      </c>
      <c r="B9" s="8" t="s">
        <v>24</v>
      </c>
      <c r="C9" s="7" t="s">
        <v>14</v>
      </c>
      <c r="D9" s="9" t="n">
        <v>1</v>
      </c>
      <c r="E9" s="16" t="n">
        <f aca="false">Ліхтарі!H11</f>
        <v>2555</v>
      </c>
      <c r="F9" s="11" t="n">
        <v>0.008</v>
      </c>
      <c r="G9" s="12" t="n">
        <f aca="false">D9*E9</f>
        <v>2555</v>
      </c>
      <c r="H9" s="10" t="n">
        <v>0</v>
      </c>
      <c r="I9" s="13" t="s">
        <v>25</v>
      </c>
    </row>
    <row r="10" customFormat="false" ht="15" hidden="false" customHeight="false" outlineLevel="0" collapsed="false">
      <c r="A10" s="7" t="s">
        <v>26</v>
      </c>
      <c r="B10" s="8" t="s">
        <v>27</v>
      </c>
      <c r="C10" s="7" t="s">
        <v>14</v>
      </c>
      <c r="D10" s="9" t="n">
        <v>1</v>
      </c>
      <c r="E10" s="15" t="n">
        <f aca="false">ROUND(10500*Параметри!$B$13/Параметри!$B$14,0)</f>
        <v>11520</v>
      </c>
      <c r="F10" s="11" t="n">
        <v>0.067</v>
      </c>
      <c r="G10" s="12" t="n">
        <f aca="false">D10*E10</f>
        <v>11520</v>
      </c>
      <c r="H10" s="10" t="n">
        <v>10500</v>
      </c>
      <c r="I10" s="13" t="s">
        <v>28</v>
      </c>
    </row>
    <row r="11" customFormat="false" ht="22.35" hidden="false" customHeight="false" outlineLevel="0" collapsed="false">
      <c r="A11" s="7" t="s">
        <v>29</v>
      </c>
      <c r="B11" s="8" t="s">
        <v>30</v>
      </c>
      <c r="C11" s="7" t="s">
        <v>14</v>
      </c>
      <c r="D11" s="9" t="n">
        <v>1</v>
      </c>
      <c r="E11" s="15" t="n">
        <f aca="false">14500+(Параметри!$B$15-Параметри!$B$16)*Параметри!$B$17*1.02</f>
        <v>16282.96</v>
      </c>
      <c r="F11" s="11" t="n">
        <v>0.052</v>
      </c>
      <c r="G11" s="12" t="n">
        <f aca="false">D11*E11</f>
        <v>16282.96</v>
      </c>
      <c r="H11" s="10" t="n">
        <v>14500</v>
      </c>
      <c r="I11" s="13" t="s">
        <v>31</v>
      </c>
    </row>
    <row r="12" customFormat="false" ht="19.4" hidden="false" customHeight="false" outlineLevel="0" collapsed="false">
      <c r="A12" s="7" t="s">
        <v>32</v>
      </c>
      <c r="B12" s="8" t="s">
        <v>33</v>
      </c>
      <c r="C12" s="7" t="s">
        <v>14</v>
      </c>
      <c r="D12" s="9" t="n">
        <v>1</v>
      </c>
      <c r="E12" s="15" t="n">
        <f aca="false">ROUND(26328*Параметри!$B$15/Параметри!$B$16,0)</f>
        <v>30378</v>
      </c>
      <c r="F12" s="11" t="n">
        <v>0.069</v>
      </c>
      <c r="G12" s="12" t="n">
        <f aca="false">D12*E12</f>
        <v>30378</v>
      </c>
      <c r="H12" s="10" t="n">
        <v>26328</v>
      </c>
      <c r="I12" s="13" t="s">
        <v>34</v>
      </c>
    </row>
    <row r="13" customFormat="false" ht="15" hidden="false" customHeight="false" outlineLevel="0" collapsed="false">
      <c r="A13" s="7" t="s">
        <v>35</v>
      </c>
      <c r="B13" s="8" t="s">
        <v>36</v>
      </c>
      <c r="C13" s="7" t="s">
        <v>14</v>
      </c>
      <c r="D13" s="9" t="n">
        <v>1</v>
      </c>
      <c r="E13" s="15" t="n">
        <f aca="false">ROUND(11300*Параметри!$B$13/Параметри!$B$14,0)</f>
        <v>12398</v>
      </c>
      <c r="F13" s="11" t="n">
        <v>0.001</v>
      </c>
      <c r="G13" s="12" t="n">
        <f aca="false">D13*E13</f>
        <v>12398</v>
      </c>
      <c r="H13" s="10" t="n">
        <v>11300</v>
      </c>
      <c r="I13" s="13" t="s">
        <v>37</v>
      </c>
    </row>
    <row r="14" customFormat="false" ht="15" hidden="false" customHeight="false" outlineLevel="0" collapsed="false">
      <c r="A14" s="7" t="s">
        <v>38</v>
      </c>
      <c r="B14" s="8" t="s">
        <v>39</v>
      </c>
      <c r="C14" s="7" t="s">
        <v>14</v>
      </c>
      <c r="D14" s="9" t="n">
        <v>1</v>
      </c>
      <c r="E14" s="10" t="n">
        <v>2400</v>
      </c>
      <c r="F14" s="11" t="n">
        <v>0.05</v>
      </c>
      <c r="G14" s="12" t="n">
        <f aca="false">D14*E14</f>
        <v>2400</v>
      </c>
      <c r="H14" s="10" t="n">
        <v>2400</v>
      </c>
      <c r="I14" s="13" t="s">
        <v>40</v>
      </c>
    </row>
    <row r="15" customFormat="false" ht="22.35" hidden="false" customHeight="false" outlineLevel="0" collapsed="false">
      <c r="A15" s="7" t="s">
        <v>41</v>
      </c>
      <c r="B15" s="8" t="s">
        <v>42</v>
      </c>
      <c r="C15" s="7" t="s">
        <v>14</v>
      </c>
      <c r="D15" s="9" t="n">
        <v>1</v>
      </c>
      <c r="E15" s="10" t="n">
        <v>4100</v>
      </c>
      <c r="F15" s="11" t="n">
        <v>0.05</v>
      </c>
      <c r="G15" s="12" t="n">
        <f aca="false">D15*E15</f>
        <v>4100</v>
      </c>
      <c r="H15" s="10" t="n">
        <v>4100</v>
      </c>
      <c r="I15" s="13" t="s">
        <v>43</v>
      </c>
    </row>
    <row r="16" customFormat="false" ht="15" hidden="false" customHeight="false" outlineLevel="0" collapsed="false">
      <c r="A16" s="2"/>
      <c r="B16" s="17" t="s">
        <v>44</v>
      </c>
      <c r="C16" s="2"/>
      <c r="D16" s="2"/>
      <c r="E16" s="2"/>
      <c r="F16" s="2"/>
      <c r="G16" s="18" t="n">
        <f aca="false">G6+G7+G8+G9+G10+G11+G12+G13+G14+G15</f>
        <v>827219.96</v>
      </c>
      <c r="H16" s="18" t="n">
        <f aca="false">H6+H7+H8+H9+H10+H11+H12+H13+H14+H15</f>
        <v>804000</v>
      </c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5" t="s">
        <v>45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false" outlineLevel="0" collapsed="false">
      <c r="A19" s="7" t="s">
        <v>46</v>
      </c>
      <c r="B19" s="8" t="s">
        <v>47</v>
      </c>
      <c r="C19" s="7"/>
      <c r="D19" s="19" t="n">
        <f aca="false">Параметри!$B$25</f>
        <v>0.05</v>
      </c>
      <c r="E19" s="10"/>
      <c r="F19" s="20"/>
      <c r="G19" s="12" t="n">
        <f aca="false">G16*Параметри!$B$25</f>
        <v>41360.998</v>
      </c>
      <c r="H19" s="10" t="n">
        <v>40200</v>
      </c>
      <c r="I19" s="13" t="s">
        <v>48</v>
      </c>
    </row>
    <row r="20" customFormat="false" ht="15" hidden="false" customHeight="false" outlineLevel="0" collapsed="false">
      <c r="A20" s="2"/>
      <c r="B20" s="17" t="s">
        <v>49</v>
      </c>
      <c r="C20" s="2"/>
      <c r="D20" s="2"/>
      <c r="E20" s="2"/>
      <c r="F20" s="2"/>
      <c r="G20" s="18" t="n">
        <f aca="false">G19</f>
        <v>41360.998</v>
      </c>
      <c r="H20" s="18" t="n">
        <f aca="false">H19</f>
        <v>40200</v>
      </c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5" t="s">
        <v>50</v>
      </c>
      <c r="B22" s="6"/>
      <c r="C22" s="6"/>
      <c r="D22" s="6"/>
      <c r="E22" s="6"/>
      <c r="F22" s="6"/>
      <c r="G22" s="6"/>
      <c r="H22" s="6"/>
      <c r="I22" s="6"/>
    </row>
    <row r="23" customFormat="false" ht="22.35" hidden="false" customHeight="false" outlineLevel="0" collapsed="false">
      <c r="A23" s="7" t="s">
        <v>51</v>
      </c>
      <c r="B23" s="8" t="s">
        <v>52</v>
      </c>
      <c r="C23" s="7" t="s">
        <v>53</v>
      </c>
      <c r="D23" s="14" t="n">
        <f aca="false">Параметри!$B$21</f>
        <v>3</v>
      </c>
      <c r="E23" s="16" t="n">
        <f aca="false">Параметри!$B$22</f>
        <v>15000</v>
      </c>
      <c r="F23" s="20"/>
      <c r="G23" s="12" t="n">
        <f aca="false">D23*E23</f>
        <v>45000</v>
      </c>
      <c r="H23" s="10" t="n">
        <v>45000</v>
      </c>
      <c r="I23" s="13" t="s">
        <v>54</v>
      </c>
    </row>
    <row r="24" customFormat="false" ht="15" hidden="false" customHeight="false" outlineLevel="0" collapsed="false">
      <c r="A24" s="7" t="s">
        <v>55</v>
      </c>
      <c r="B24" s="8" t="s">
        <v>56</v>
      </c>
      <c r="C24" s="7" t="s">
        <v>53</v>
      </c>
      <c r="D24" s="21" t="n">
        <f aca="false">ROUNDUP(Параметри!$B$10/Параметри!$B$18,0)</f>
        <v>4</v>
      </c>
      <c r="E24" s="16" t="n">
        <f aca="false">Параметри!$B$20</f>
        <v>7000</v>
      </c>
      <c r="F24" s="20"/>
      <c r="G24" s="12" t="n">
        <f aca="false">D24*E24</f>
        <v>28000</v>
      </c>
      <c r="H24" s="10" t="n">
        <v>28000</v>
      </c>
      <c r="I24" s="13" t="s">
        <v>57</v>
      </c>
    </row>
    <row r="25" customFormat="false" ht="15" hidden="false" customHeight="false" outlineLevel="0" collapsed="false">
      <c r="A25" s="7" t="s">
        <v>58</v>
      </c>
      <c r="B25" s="8" t="s">
        <v>59</v>
      </c>
      <c r="C25" s="7" t="s">
        <v>53</v>
      </c>
      <c r="D25" s="14" t="n">
        <f aca="false">Параметри!$B$19</f>
        <v>2</v>
      </c>
      <c r="E25" s="16" t="n">
        <f aca="false">Параметри!$B$20</f>
        <v>7000</v>
      </c>
      <c r="F25" s="20"/>
      <c r="G25" s="12" t="n">
        <f aca="false">D25*E25</f>
        <v>14000</v>
      </c>
      <c r="H25" s="10" t="n">
        <v>14000</v>
      </c>
      <c r="I25" s="13" t="s">
        <v>60</v>
      </c>
    </row>
    <row r="26" customFormat="false" ht="15" hidden="false" customHeight="false" outlineLevel="0" collapsed="false">
      <c r="A26" s="7" t="s">
        <v>61</v>
      </c>
      <c r="B26" s="8" t="s">
        <v>62</v>
      </c>
      <c r="C26" s="7"/>
      <c r="D26" s="19" t="n">
        <f aca="false">Параметри!$B$23</f>
        <v>0.003</v>
      </c>
      <c r="E26" s="10"/>
      <c r="F26" s="20"/>
      <c r="G26" s="12" t="n">
        <f aca="false">(G16-G6)*Параметри!$B$23</f>
        <v>771.65988</v>
      </c>
      <c r="H26" s="10" t="n">
        <v>702</v>
      </c>
      <c r="I26" s="13" t="s">
        <v>63</v>
      </c>
    </row>
    <row r="27" customFormat="false" ht="15" hidden="false" customHeight="false" outlineLevel="0" collapsed="false">
      <c r="A27" s="7" t="s">
        <v>64</v>
      </c>
      <c r="B27" s="8" t="s">
        <v>65</v>
      </c>
      <c r="C27" s="7" t="s">
        <v>14</v>
      </c>
      <c r="D27" s="9" t="n">
        <v>1</v>
      </c>
      <c r="E27" s="16" t="n">
        <f aca="false">Параметри!$B$24</f>
        <v>240</v>
      </c>
      <c r="F27" s="20"/>
      <c r="G27" s="12" t="n">
        <f aca="false">D27*E27</f>
        <v>240</v>
      </c>
      <c r="H27" s="10" t="n">
        <v>240</v>
      </c>
      <c r="I27" s="13"/>
    </row>
    <row r="28" customFormat="false" ht="15" hidden="false" customHeight="false" outlineLevel="0" collapsed="false">
      <c r="A28" s="7" t="s">
        <v>66</v>
      </c>
      <c r="B28" s="8" t="s">
        <v>67</v>
      </c>
      <c r="C28" s="7"/>
      <c r="D28" s="9"/>
      <c r="E28" s="10"/>
      <c r="F28" s="20"/>
      <c r="G28" s="12" t="n">
        <f aca="false">(G8*F8+G9*F9+G10*F10+G11*F11+G12*F12+G13*F13+G14*F14+G15*F15)*(1+((Параметри!$B$19*Параметри!$B$20)+(G8+G9+G10+G11+G12+G13+G14+G15)*Параметри!$B$23)/(G8+G9+G10+G11+G12+G13+G14+G15))</f>
        <v>4840.7596950824</v>
      </c>
      <c r="H28" s="10" t="n">
        <v>4378</v>
      </c>
      <c r="I28" s="13" t="s">
        <v>68</v>
      </c>
    </row>
    <row r="29" customFormat="false" ht="15" hidden="false" customHeight="false" outlineLevel="0" collapsed="false">
      <c r="A29" s="2"/>
      <c r="B29" s="17" t="s">
        <v>69</v>
      </c>
      <c r="C29" s="2"/>
      <c r="D29" s="2"/>
      <c r="E29" s="2"/>
      <c r="F29" s="2"/>
      <c r="G29" s="18" t="n">
        <f aca="false">G23+G24+G25+G26+G27+G28</f>
        <v>92852.4195750824</v>
      </c>
      <c r="H29" s="18" t="n">
        <f aca="false">H23+H24+H25+H26+H27+H28</f>
        <v>92320</v>
      </c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5" t="s">
        <v>70</v>
      </c>
      <c r="B31" s="6"/>
      <c r="C31" s="6"/>
      <c r="D31" s="6"/>
      <c r="E31" s="6"/>
      <c r="F31" s="6"/>
      <c r="G31" s="6"/>
      <c r="H31" s="6"/>
      <c r="I31" s="6"/>
    </row>
    <row r="32" customFormat="false" ht="22.35" hidden="false" customHeight="false" outlineLevel="0" collapsed="false">
      <c r="A32" s="7" t="s">
        <v>71</v>
      </c>
      <c r="B32" s="8" t="s">
        <v>72</v>
      </c>
      <c r="C32" s="7" t="s">
        <v>18</v>
      </c>
      <c r="D32" s="21" t="n">
        <f aca="false">ROUND(4756*Параметри!$B$5/Параметри!$B$12,0)</f>
        <v>4457</v>
      </c>
      <c r="E32" s="10"/>
      <c r="F32" s="20"/>
      <c r="G32" s="12"/>
      <c r="H32" s="10"/>
      <c r="I32" s="13" t="s">
        <v>73</v>
      </c>
    </row>
    <row r="33" customFormat="false" ht="15" hidden="false" customHeight="false" outlineLevel="0" collapsed="false">
      <c r="A33" s="7" t="s">
        <v>74</v>
      </c>
      <c r="B33" s="8" t="s">
        <v>75</v>
      </c>
      <c r="C33" s="7" t="s">
        <v>18</v>
      </c>
      <c r="D33" s="21" t="n">
        <f aca="false">ROUND(848*Параметри!$B$5/Параметри!$B$12,0)</f>
        <v>795</v>
      </c>
      <c r="E33" s="10"/>
      <c r="F33" s="20"/>
      <c r="G33" s="12"/>
      <c r="H33" s="10"/>
      <c r="I33" s="13" t="s">
        <v>76</v>
      </c>
    </row>
    <row r="34" customFormat="false" ht="15" hidden="false" customHeight="false" outlineLevel="0" collapsed="false">
      <c r="A34" s="7" t="s">
        <v>77</v>
      </c>
      <c r="B34" s="8" t="s">
        <v>78</v>
      </c>
      <c r="C34" s="7" t="s">
        <v>18</v>
      </c>
      <c r="D34" s="9" t="n">
        <v>821</v>
      </c>
      <c r="E34" s="10"/>
      <c r="F34" s="20"/>
      <c r="G34" s="12"/>
      <c r="H34" s="10"/>
      <c r="I34" s="13" t="s">
        <v>79</v>
      </c>
    </row>
    <row r="35" customFormat="false" ht="15" hidden="false" customHeight="false" outlineLevel="0" collapsed="false">
      <c r="A35" s="7" t="s">
        <v>80</v>
      </c>
      <c r="B35" s="8" t="s">
        <v>81</v>
      </c>
      <c r="C35" s="7" t="s">
        <v>18</v>
      </c>
      <c r="D35" s="9" t="n">
        <v>92</v>
      </c>
      <c r="E35" s="10"/>
      <c r="F35" s="20"/>
      <c r="G35" s="12"/>
      <c r="H35" s="10"/>
      <c r="I35" s="13" t="s">
        <v>82</v>
      </c>
    </row>
    <row r="36" customFormat="false" ht="15" hidden="false" customHeight="false" outlineLevel="0" collapsed="false">
      <c r="A36" s="7" t="s">
        <v>83</v>
      </c>
      <c r="B36" s="8" t="s">
        <v>84</v>
      </c>
      <c r="C36" s="7" t="s">
        <v>18</v>
      </c>
      <c r="D36" s="21" t="n">
        <f aca="false">ROUNDUP(SUM(D32:D35)*1.01,0)</f>
        <v>6227</v>
      </c>
      <c r="E36" s="16" t="n">
        <f aca="false">Параметри!$B$26</f>
        <v>3</v>
      </c>
      <c r="F36" s="20"/>
      <c r="G36" s="12" t="n">
        <f aca="false">D36*E36</f>
        <v>18681</v>
      </c>
      <c r="H36" s="10" t="n">
        <v>19749</v>
      </c>
      <c r="I36" s="13" t="s">
        <v>85</v>
      </c>
    </row>
    <row r="37" customFormat="false" ht="15" hidden="false" customHeight="false" outlineLevel="0" collapsed="false">
      <c r="A37" s="7" t="s">
        <v>86</v>
      </c>
      <c r="B37" s="8" t="s">
        <v>87</v>
      </c>
      <c r="C37" s="7" t="s">
        <v>88</v>
      </c>
      <c r="D37" s="9" t="n">
        <v>2536.38</v>
      </c>
      <c r="E37" s="22" t="n">
        <v>21.75</v>
      </c>
      <c r="F37" s="20"/>
      <c r="G37" s="12" t="n">
        <f aca="false">D37*E37</f>
        <v>55166.265</v>
      </c>
      <c r="H37" s="10" t="n">
        <v>55166</v>
      </c>
      <c r="I37" s="13" t="s">
        <v>89</v>
      </c>
    </row>
    <row r="38" customFormat="false" ht="15" hidden="false" customHeight="false" outlineLevel="0" collapsed="false">
      <c r="A38" s="7" t="s">
        <v>90</v>
      </c>
      <c r="B38" s="8" t="s">
        <v>91</v>
      </c>
      <c r="C38" s="7" t="s">
        <v>88</v>
      </c>
      <c r="D38" s="9" t="n">
        <v>845.46</v>
      </c>
      <c r="E38" s="22" t="n">
        <v>17.22</v>
      </c>
      <c r="F38" s="20"/>
      <c r="G38" s="12" t="n">
        <f aca="false">D38*E38</f>
        <v>14558.8212</v>
      </c>
      <c r="H38" s="10" t="n">
        <v>14559</v>
      </c>
      <c r="I38" s="13" t="s">
        <v>92</v>
      </c>
    </row>
    <row r="39" customFormat="false" ht="15" hidden="false" customHeight="false" outlineLevel="0" collapsed="false">
      <c r="A39" s="7" t="s">
        <v>93</v>
      </c>
      <c r="B39" s="8" t="s">
        <v>94</v>
      </c>
      <c r="C39" s="7" t="s">
        <v>18</v>
      </c>
      <c r="D39" s="9" t="n">
        <v>194</v>
      </c>
      <c r="E39" s="22" t="n">
        <v>44.99</v>
      </c>
      <c r="F39" s="20"/>
      <c r="G39" s="12" t="n">
        <f aca="false">D39*E39</f>
        <v>8728.06</v>
      </c>
      <c r="H39" s="10" t="n">
        <v>8728</v>
      </c>
      <c r="I39" s="13" t="s">
        <v>95</v>
      </c>
    </row>
    <row r="40" customFormat="false" ht="15" hidden="false" customHeight="false" outlineLevel="0" collapsed="false">
      <c r="A40" s="7" t="s">
        <v>96</v>
      </c>
      <c r="B40" s="8" t="s">
        <v>97</v>
      </c>
      <c r="C40" s="7" t="s">
        <v>14</v>
      </c>
      <c r="D40" s="9" t="n">
        <v>1</v>
      </c>
      <c r="E40" s="15" t="n">
        <f aca="false">ROUND(2227.7*D36/6583,0)</f>
        <v>2107</v>
      </c>
      <c r="F40" s="20"/>
      <c r="G40" s="12" t="n">
        <f aca="false">D40*E40</f>
        <v>2107</v>
      </c>
      <c r="H40" s="10" t="n">
        <v>2228</v>
      </c>
      <c r="I40" s="13" t="s">
        <v>98</v>
      </c>
    </row>
    <row r="41" customFormat="false" ht="15" hidden="false" customHeight="false" outlineLevel="0" collapsed="false">
      <c r="A41" s="2"/>
      <c r="B41" s="17" t="s">
        <v>99</v>
      </c>
      <c r="C41" s="2"/>
      <c r="D41" s="2"/>
      <c r="E41" s="2"/>
      <c r="F41" s="2"/>
      <c r="G41" s="18" t="n">
        <f aca="false">G36+G37+G38+G39+G40</f>
        <v>99241.1462</v>
      </c>
      <c r="H41" s="18" t="n">
        <f aca="false">H36+H37+H38+H39+H40</f>
        <v>100430</v>
      </c>
      <c r="I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5" t="s">
        <v>100</v>
      </c>
      <c r="B43" s="6"/>
      <c r="C43" s="6"/>
      <c r="D43" s="6"/>
      <c r="E43" s="6"/>
      <c r="F43" s="6"/>
      <c r="G43" s="6"/>
      <c r="H43" s="6"/>
      <c r="I43" s="6"/>
    </row>
    <row r="44" customFormat="false" ht="15" hidden="false" customHeight="false" outlineLevel="0" collapsed="false">
      <c r="A44" s="7" t="s">
        <v>101</v>
      </c>
      <c r="B44" s="8" t="s">
        <v>102</v>
      </c>
      <c r="C44" s="7" t="s">
        <v>103</v>
      </c>
      <c r="D44" s="14" t="n">
        <f aca="false">Параметри!$B$9</f>
        <v>1541.76</v>
      </c>
      <c r="E44" s="16" t="n">
        <f aca="false">Параметри!$B$27</f>
        <v>50</v>
      </c>
      <c r="F44" s="20"/>
      <c r="G44" s="12" t="n">
        <f aca="false">D44*E44</f>
        <v>77088</v>
      </c>
      <c r="H44" s="10" t="n">
        <v>70263</v>
      </c>
      <c r="I44" s="13" t="s">
        <v>104</v>
      </c>
    </row>
    <row r="45" customFormat="false" ht="15" hidden="false" customHeight="false" outlineLevel="0" collapsed="false">
      <c r="A45" s="7" t="s">
        <v>105</v>
      </c>
      <c r="B45" s="8" t="s">
        <v>106</v>
      </c>
      <c r="C45" s="7" t="s">
        <v>14</v>
      </c>
      <c r="D45" s="9" t="n">
        <v>1</v>
      </c>
      <c r="E45" s="15" t="n">
        <f aca="false">ROUND(2807*Параметри!$B$8/Параметри!$B$11,0)</f>
        <v>3080</v>
      </c>
      <c r="F45" s="20"/>
      <c r="G45" s="12" t="n">
        <f aca="false">D45*E45</f>
        <v>3080</v>
      </c>
      <c r="H45" s="10" t="n">
        <v>2807</v>
      </c>
      <c r="I45" s="13" t="s">
        <v>107</v>
      </c>
    </row>
    <row r="46" customFormat="false" ht="15" hidden="false" customHeight="false" outlineLevel="0" collapsed="false">
      <c r="A46" s="7" t="s">
        <v>108</v>
      </c>
      <c r="B46" s="8" t="s">
        <v>109</v>
      </c>
      <c r="C46" s="7" t="s">
        <v>14</v>
      </c>
      <c r="D46" s="9" t="n">
        <v>1</v>
      </c>
      <c r="E46" s="10" t="n">
        <v>10519</v>
      </c>
      <c r="F46" s="20"/>
      <c r="G46" s="12" t="n">
        <f aca="false">D46*E46</f>
        <v>10519</v>
      </c>
      <c r="H46" s="10" t="n">
        <v>10519</v>
      </c>
      <c r="I46" s="13" t="s">
        <v>110</v>
      </c>
    </row>
    <row r="47" customFormat="false" ht="15" hidden="false" customHeight="false" outlineLevel="0" collapsed="false">
      <c r="A47" s="7" t="s">
        <v>111</v>
      </c>
      <c r="B47" s="8" t="s">
        <v>112</v>
      </c>
      <c r="C47" s="7" t="s">
        <v>14</v>
      </c>
      <c r="D47" s="9" t="n">
        <v>1</v>
      </c>
      <c r="E47" s="10" t="n">
        <v>1497</v>
      </c>
      <c r="F47" s="20"/>
      <c r="G47" s="12" t="n">
        <f aca="false">D47*E47</f>
        <v>1497</v>
      </c>
      <c r="H47" s="10" t="n">
        <v>1497</v>
      </c>
      <c r="I47" s="13" t="s">
        <v>110</v>
      </c>
    </row>
    <row r="48" customFormat="false" ht="15" hidden="false" customHeight="false" outlineLevel="0" collapsed="false">
      <c r="A48" s="7" t="s">
        <v>113</v>
      </c>
      <c r="B48" s="8" t="s">
        <v>114</v>
      </c>
      <c r="C48" s="7" t="s">
        <v>14</v>
      </c>
      <c r="D48" s="9" t="n">
        <v>1</v>
      </c>
      <c r="E48" s="10" t="n">
        <v>5453</v>
      </c>
      <c r="F48" s="20"/>
      <c r="G48" s="12" t="n">
        <f aca="false">D48*E48</f>
        <v>5453</v>
      </c>
      <c r="H48" s="10" t="n">
        <v>5453</v>
      </c>
      <c r="I48" s="13" t="s">
        <v>110</v>
      </c>
    </row>
    <row r="49" customFormat="false" ht="15" hidden="false" customHeight="false" outlineLevel="0" collapsed="false">
      <c r="A49" s="7" t="s">
        <v>115</v>
      </c>
      <c r="B49" s="8" t="s">
        <v>116</v>
      </c>
      <c r="C49" s="7" t="s">
        <v>14</v>
      </c>
      <c r="D49" s="9" t="n">
        <v>1</v>
      </c>
      <c r="E49" s="10" t="n">
        <v>414</v>
      </c>
      <c r="F49" s="20"/>
      <c r="G49" s="12" t="n">
        <f aca="false">D49*E49</f>
        <v>414</v>
      </c>
      <c r="H49" s="10" t="n">
        <v>414</v>
      </c>
      <c r="I49" s="13" t="s">
        <v>110</v>
      </c>
    </row>
    <row r="50" customFormat="false" ht="15" hidden="false" customHeight="false" outlineLevel="0" collapsed="false">
      <c r="A50" s="7" t="s">
        <v>117</v>
      </c>
      <c r="B50" s="8" t="s">
        <v>118</v>
      </c>
      <c r="C50" s="7" t="s">
        <v>14</v>
      </c>
      <c r="D50" s="9" t="n">
        <v>1</v>
      </c>
      <c r="E50" s="10" t="n">
        <v>1475</v>
      </c>
      <c r="F50" s="20"/>
      <c r="G50" s="12" t="n">
        <f aca="false">D50*E50</f>
        <v>1475</v>
      </c>
      <c r="H50" s="10" t="n">
        <v>1475</v>
      </c>
      <c r="I50" s="13" t="s">
        <v>110</v>
      </c>
    </row>
    <row r="51" customFormat="false" ht="15" hidden="false" customHeight="false" outlineLevel="0" collapsed="false">
      <c r="A51" s="7" t="s">
        <v>119</v>
      </c>
      <c r="B51" s="8" t="s">
        <v>120</v>
      </c>
      <c r="C51" s="7" t="s">
        <v>14</v>
      </c>
      <c r="D51" s="9" t="n">
        <v>1</v>
      </c>
      <c r="E51" s="10" t="n">
        <v>2584</v>
      </c>
      <c r="F51" s="20"/>
      <c r="G51" s="12" t="n">
        <f aca="false">D51*E51</f>
        <v>2584</v>
      </c>
      <c r="H51" s="10" t="n">
        <v>2584</v>
      </c>
      <c r="I51" s="13" t="s">
        <v>110</v>
      </c>
    </row>
    <row r="52" customFormat="false" ht="15" hidden="false" customHeight="false" outlineLevel="0" collapsed="false">
      <c r="A52" s="7" t="s">
        <v>121</v>
      </c>
      <c r="B52" s="8" t="s">
        <v>122</v>
      </c>
      <c r="C52" s="7" t="s">
        <v>14</v>
      </c>
      <c r="D52" s="9" t="n">
        <v>1</v>
      </c>
      <c r="E52" s="16" t="n">
        <f aca="false">Параметри!$B$28</f>
        <v>25000</v>
      </c>
      <c r="F52" s="20"/>
      <c r="G52" s="12" t="n">
        <f aca="false">D52*E52</f>
        <v>25000</v>
      </c>
      <c r="H52" s="10" t="n">
        <v>25000</v>
      </c>
      <c r="I52" s="13" t="s">
        <v>123</v>
      </c>
    </row>
    <row r="53" customFormat="false" ht="15" hidden="false" customHeight="false" outlineLevel="0" collapsed="false">
      <c r="A53" s="7" t="s">
        <v>124</v>
      </c>
      <c r="B53" s="8" t="s">
        <v>125</v>
      </c>
      <c r="C53" s="7" t="s">
        <v>126</v>
      </c>
      <c r="D53" s="14" t="n">
        <f aca="false">Параметри!$B$32</f>
        <v>674</v>
      </c>
      <c r="E53" s="23" t="n">
        <f aca="false">Параметри!$B$33</f>
        <v>0</v>
      </c>
      <c r="F53" s="20"/>
      <c r="G53" s="12" t="n">
        <f aca="false">D53*E53</f>
        <v>0</v>
      </c>
      <c r="H53" s="10" t="n">
        <v>0</v>
      </c>
      <c r="I53" s="13" t="s">
        <v>127</v>
      </c>
    </row>
    <row r="54" customFormat="false" ht="15" hidden="false" customHeight="false" outlineLevel="0" collapsed="false">
      <c r="A54" s="2"/>
      <c r="B54" s="17" t="s">
        <v>128</v>
      </c>
      <c r="C54" s="2"/>
      <c r="D54" s="2"/>
      <c r="E54" s="2"/>
      <c r="F54" s="2"/>
      <c r="G54" s="18" t="n">
        <f aca="false">G44+G45+G46+G47+G48+G49+G50+G51+G52+G53</f>
        <v>127110</v>
      </c>
      <c r="H54" s="18" t="n">
        <f aca="false">H44+H45+H46+H47+H48+H49+H50+H51+H52+H53</f>
        <v>120012</v>
      </c>
      <c r="I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2"/>
      <c r="B56" s="17" t="s">
        <v>129</v>
      </c>
      <c r="C56" s="2"/>
      <c r="D56" s="2"/>
      <c r="E56" s="2"/>
      <c r="F56" s="2"/>
      <c r="G56" s="18" t="n">
        <f aca="false">G16+G20+G29+G41+G54</f>
        <v>1187784.52377508</v>
      </c>
      <c r="H56" s="18" t="n">
        <f aca="false">H16+H20+H29+H41+H54</f>
        <v>1156962</v>
      </c>
      <c r="I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5" t="s">
        <v>130</v>
      </c>
      <c r="B58" s="6"/>
      <c r="C58" s="6"/>
      <c r="D58" s="6"/>
      <c r="E58" s="6"/>
      <c r="F58" s="6"/>
      <c r="G58" s="6"/>
      <c r="H58" s="6"/>
      <c r="I58" s="6"/>
    </row>
    <row r="59" customFormat="false" ht="15" hidden="false" customHeight="false" outlineLevel="0" collapsed="false">
      <c r="A59" s="7" t="s">
        <v>131</v>
      </c>
      <c r="B59" s="8" t="s">
        <v>132</v>
      </c>
      <c r="C59" s="7"/>
      <c r="D59" s="19" t="n">
        <f aca="false">Параметри!$B$29</f>
        <v>0.04</v>
      </c>
      <c r="E59" s="10"/>
      <c r="F59" s="20"/>
      <c r="G59" s="12" t="n">
        <f aca="false">G56*D59</f>
        <v>47511.3809510033</v>
      </c>
      <c r="H59" s="10" t="n">
        <v>46278</v>
      </c>
      <c r="I59" s="13" t="s">
        <v>133</v>
      </c>
    </row>
    <row r="60" customFormat="false" ht="15" hidden="false" customHeight="false" outlineLevel="0" collapsed="false">
      <c r="A60" s="7" t="s">
        <v>134</v>
      </c>
      <c r="B60" s="8" t="s">
        <v>135</v>
      </c>
      <c r="C60" s="7"/>
      <c r="D60" s="19" t="n">
        <f aca="false">Параметри!$B$30</f>
        <v>0.18</v>
      </c>
      <c r="E60" s="10"/>
      <c r="F60" s="20"/>
      <c r="G60" s="12" t="n">
        <f aca="false">G56*D60</f>
        <v>213801.214279515</v>
      </c>
      <c r="H60" s="10" t="n">
        <v>208253</v>
      </c>
      <c r="I60" s="13" t="s">
        <v>136</v>
      </c>
    </row>
    <row r="61" customFormat="false" ht="15" hidden="false" customHeight="false" outlineLevel="0" collapsed="false">
      <c r="A61" s="2"/>
      <c r="B61" s="17" t="s">
        <v>137</v>
      </c>
      <c r="C61" s="2"/>
      <c r="D61" s="2"/>
      <c r="E61" s="2"/>
      <c r="F61" s="2"/>
      <c r="G61" s="18" t="n">
        <f aca="false">G59+G60</f>
        <v>261312.595230518</v>
      </c>
      <c r="H61" s="18" t="n">
        <f aca="false">H59+H60</f>
        <v>254531</v>
      </c>
      <c r="I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15" hidden="false" customHeight="false" outlineLevel="0" collapsed="false">
      <c r="A63" s="2"/>
      <c r="B63" s="17" t="s">
        <v>138</v>
      </c>
      <c r="C63" s="2"/>
      <c r="D63" s="2"/>
      <c r="E63" s="2"/>
      <c r="F63" s="2"/>
      <c r="G63" s="18" t="n">
        <f aca="false">G56+G61</f>
        <v>1449097.1190056</v>
      </c>
      <c r="H63" s="18" t="n">
        <f aca="false">H56+H61</f>
        <v>1411493</v>
      </c>
      <c r="I63" s="2"/>
    </row>
    <row r="64" customFormat="false" ht="15" hidden="false" customHeight="false" outlineLevel="0" collapsed="false">
      <c r="A64" s="2"/>
      <c r="B64" s="24" t="s">
        <v>139</v>
      </c>
      <c r="C64" s="2"/>
      <c r="D64" s="2"/>
      <c r="E64" s="2"/>
      <c r="F64" s="2"/>
      <c r="G64" s="25" t="n">
        <f aca="false">G63*Параметри!$B$31</f>
        <v>289819.42380112</v>
      </c>
      <c r="H64" s="25" t="n">
        <f aca="false">H63*Параметри!$B$31</f>
        <v>282298.6</v>
      </c>
      <c r="I64" s="2"/>
    </row>
    <row r="65" customFormat="false" ht="15" hidden="false" customHeight="false" outlineLevel="0" collapsed="false">
      <c r="A65" s="2"/>
      <c r="B65" s="17" t="s">
        <v>140</v>
      </c>
      <c r="C65" s="2"/>
      <c r="D65" s="2"/>
      <c r="E65" s="2"/>
      <c r="F65" s="2"/>
      <c r="G65" s="18" t="n">
        <f aca="false">G63+G64</f>
        <v>1738916.54280672</v>
      </c>
      <c r="H65" s="18" t="n">
        <f aca="false">H63+H64</f>
        <v>1693791.6</v>
      </c>
      <c r="I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4" t="s">
        <v>141</v>
      </c>
      <c r="C67" s="2"/>
      <c r="D67" s="2"/>
      <c r="E67" s="2"/>
      <c r="F67" s="2"/>
      <c r="G67" s="25" t="n">
        <f aca="false">(G63-G6-G7)*Параметри!$B$31</f>
        <v>144356.42380112</v>
      </c>
      <c r="H67" s="25" t="n">
        <f aca="false">(H63-H6-H7)*Параметри!$B$31</f>
        <v>139624.2</v>
      </c>
      <c r="I67" s="2"/>
    </row>
    <row r="68" customFormat="false" ht="15" hidden="false" customHeight="false" outlineLevel="0" collapsed="false">
      <c r="A68" s="2"/>
      <c r="B68" s="17" t="s">
        <v>142</v>
      </c>
      <c r="C68" s="2"/>
      <c r="D68" s="2"/>
      <c r="E68" s="2"/>
      <c r="F68" s="2"/>
      <c r="G68" s="18" t="n">
        <f aca="false">G63+G67</f>
        <v>1593453.54280672</v>
      </c>
      <c r="H68" s="18" t="n">
        <f aca="false">H63+H67</f>
        <v>1551117.2</v>
      </c>
      <c r="I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2"/>
      <c r="B70" s="24" t="s">
        <v>143</v>
      </c>
      <c r="C70" s="2"/>
      <c r="D70" s="2"/>
      <c r="E70" s="2"/>
      <c r="F70" s="2"/>
      <c r="G70" s="25" t="n">
        <f aca="false">G63/Параметри!$B$9</f>
        <v>939.897986071503</v>
      </c>
      <c r="H70" s="25" t="n">
        <f aca="false">H63/1405.25</f>
        <v>1004.44262586728</v>
      </c>
      <c r="I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30" hidden="false" customHeight="true" outlineLevel="0" collapsed="false">
      <c r="A72" s="2"/>
      <c r="B72" s="26" t="s">
        <v>144</v>
      </c>
      <c r="C72" s="26"/>
      <c r="D72" s="26"/>
      <c r="E72" s="26"/>
      <c r="F72" s="26"/>
      <c r="G72" s="26"/>
      <c r="H72" s="26"/>
      <c r="I72" s="26"/>
    </row>
    <row r="73" customFormat="false" ht="30" hidden="false" customHeight="true" outlineLevel="0" collapsed="false">
      <c r="A73" s="2"/>
      <c r="B73" s="26" t="s">
        <v>145</v>
      </c>
      <c r="C73" s="26"/>
      <c r="D73" s="26"/>
      <c r="E73" s="26"/>
      <c r="F73" s="26"/>
      <c r="G73" s="26"/>
      <c r="H73" s="26"/>
      <c r="I73" s="26"/>
    </row>
    <row r="74" customFormat="false" ht="30" hidden="false" customHeight="true" outlineLevel="0" collapsed="false">
      <c r="A74" s="2"/>
      <c r="B74" s="26" t="s">
        <v>146</v>
      </c>
      <c r="C74" s="26"/>
      <c r="D74" s="26"/>
      <c r="E74" s="26"/>
      <c r="F74" s="26"/>
      <c r="G74" s="26"/>
      <c r="H74" s="26"/>
      <c r="I74" s="26"/>
    </row>
  </sheetData>
  <mergeCells count="3">
    <mergeCell ref="B72:I72"/>
    <mergeCell ref="B73:I73"/>
    <mergeCell ref="B74:I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147</v>
      </c>
      <c r="B1" s="2"/>
      <c r="C1" s="2"/>
      <c r="D1" s="2"/>
    </row>
    <row r="2" customFormat="false" ht="15" hidden="false" customHeight="false" outlineLevel="0" collapsed="false">
      <c r="A2" s="3" t="s">
        <v>148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27" t="s">
        <v>149</v>
      </c>
      <c r="B4" s="27" t="s">
        <v>150</v>
      </c>
      <c r="C4" s="27" t="s">
        <v>4</v>
      </c>
      <c r="D4" s="27" t="s">
        <v>151</v>
      </c>
    </row>
    <row r="5" customFormat="false" ht="15" hidden="false" customHeight="false" outlineLevel="0" collapsed="false">
      <c r="A5" s="7" t="s">
        <v>152</v>
      </c>
      <c r="B5" s="9" t="n">
        <v>1639</v>
      </c>
      <c r="C5" s="7" t="s">
        <v>18</v>
      </c>
      <c r="D5" s="28" t="s">
        <v>153</v>
      </c>
    </row>
    <row r="6" customFormat="false" ht="15" hidden="false" customHeight="false" outlineLevel="0" collapsed="false">
      <c r="A6" s="7" t="s">
        <v>154</v>
      </c>
      <c r="B6" s="9" t="n">
        <v>297</v>
      </c>
      <c r="C6" s="7" t="s">
        <v>18</v>
      </c>
      <c r="D6" s="28" t="s">
        <v>155</v>
      </c>
    </row>
    <row r="7" customFormat="false" ht="15" hidden="false" customHeight="false" outlineLevel="0" collapsed="false">
      <c r="A7" s="7" t="s">
        <v>156</v>
      </c>
      <c r="B7" s="9" t="n">
        <v>176</v>
      </c>
      <c r="C7" s="7" t="s">
        <v>18</v>
      </c>
      <c r="D7" s="28" t="s">
        <v>157</v>
      </c>
    </row>
    <row r="8" customFormat="false" ht="15" hidden="false" customHeight="false" outlineLevel="0" collapsed="false">
      <c r="A8" s="7" t="s">
        <v>158</v>
      </c>
      <c r="B8" s="21" t="n">
        <f aca="false">B5+B6+B7</f>
        <v>2112</v>
      </c>
      <c r="C8" s="7" t="s">
        <v>18</v>
      </c>
      <c r="D8" s="28"/>
    </row>
    <row r="9" customFormat="false" ht="15" hidden="false" customHeight="false" outlineLevel="0" collapsed="false">
      <c r="A9" s="7" t="s">
        <v>159</v>
      </c>
      <c r="B9" s="29" t="n">
        <f aca="false">B8*0.73</f>
        <v>1541.76</v>
      </c>
      <c r="C9" s="7" t="s">
        <v>103</v>
      </c>
      <c r="D9" s="28" t="s">
        <v>160</v>
      </c>
    </row>
    <row r="10" customFormat="false" ht="15" hidden="false" customHeight="false" outlineLevel="0" collapsed="false">
      <c r="A10" s="7" t="s">
        <v>161</v>
      </c>
      <c r="B10" s="21" t="n">
        <f aca="false">ROUNDUP(B8*1.02,0)</f>
        <v>2155</v>
      </c>
      <c r="C10" s="7" t="s">
        <v>18</v>
      </c>
      <c r="D10" s="28" t="s">
        <v>162</v>
      </c>
    </row>
    <row r="11" customFormat="false" ht="15" hidden="false" customHeight="false" outlineLevel="0" collapsed="false">
      <c r="A11" s="7" t="s">
        <v>163</v>
      </c>
      <c r="B11" s="9" t="n">
        <v>1925</v>
      </c>
      <c r="C11" s="7" t="s">
        <v>18</v>
      </c>
      <c r="D11" s="28" t="s">
        <v>164</v>
      </c>
    </row>
    <row r="12" customFormat="false" ht="15" hidden="false" customHeight="false" outlineLevel="0" collapsed="false">
      <c r="A12" s="7" t="s">
        <v>165</v>
      </c>
      <c r="B12" s="9" t="n">
        <v>1749</v>
      </c>
      <c r="C12" s="7" t="s">
        <v>18</v>
      </c>
      <c r="D12" s="28" t="s">
        <v>166</v>
      </c>
    </row>
    <row r="13" customFormat="false" ht="15" hidden="false" customHeight="false" outlineLevel="0" collapsed="false">
      <c r="A13" s="7" t="s">
        <v>167</v>
      </c>
      <c r="B13" s="21" t="n">
        <f aca="false">149+27+16</f>
        <v>192</v>
      </c>
      <c r="C13" s="7" t="s">
        <v>18</v>
      </c>
      <c r="D13" s="28" t="s">
        <v>168</v>
      </c>
    </row>
    <row r="14" customFormat="false" ht="15" hidden="false" customHeight="false" outlineLevel="0" collapsed="false">
      <c r="A14" s="7" t="s">
        <v>169</v>
      </c>
      <c r="B14" s="9" t="n">
        <v>175</v>
      </c>
      <c r="C14" s="7" t="s">
        <v>18</v>
      </c>
      <c r="D14" s="28" t="s">
        <v>170</v>
      </c>
    </row>
    <row r="15" customFormat="false" ht="15" hidden="false" customHeight="false" outlineLevel="0" collapsed="false">
      <c r="A15" s="7" t="s">
        <v>171</v>
      </c>
      <c r="B15" s="9" t="n">
        <v>30</v>
      </c>
      <c r="C15" s="7" t="s">
        <v>18</v>
      </c>
      <c r="D15" s="28" t="s">
        <v>172</v>
      </c>
    </row>
    <row r="16" customFormat="false" ht="15" hidden="false" customHeight="false" outlineLevel="0" collapsed="false">
      <c r="A16" s="7" t="s">
        <v>173</v>
      </c>
      <c r="B16" s="9" t="n">
        <v>26</v>
      </c>
      <c r="C16" s="7" t="s">
        <v>18</v>
      </c>
      <c r="D16" s="28" t="s">
        <v>174</v>
      </c>
    </row>
    <row r="17" customFormat="false" ht="15" hidden="false" customHeight="false" outlineLevel="0" collapsed="false">
      <c r="A17" s="7" t="s">
        <v>175</v>
      </c>
      <c r="B17" s="10" t="n">
        <v>437</v>
      </c>
      <c r="C17" s="7" t="s">
        <v>176</v>
      </c>
      <c r="D17" s="28" t="s">
        <v>177</v>
      </c>
    </row>
    <row r="18" customFormat="false" ht="15" hidden="false" customHeight="false" outlineLevel="0" collapsed="false">
      <c r="A18" s="7" t="s">
        <v>178</v>
      </c>
      <c r="B18" s="9" t="n">
        <v>594</v>
      </c>
      <c r="C18" s="7" t="s">
        <v>18</v>
      </c>
      <c r="D18" s="28" t="s">
        <v>179</v>
      </c>
    </row>
    <row r="19" customFormat="false" ht="15" hidden="false" customHeight="false" outlineLevel="0" collapsed="false">
      <c r="A19" s="7" t="s">
        <v>180</v>
      </c>
      <c r="B19" s="9" t="n">
        <v>2</v>
      </c>
      <c r="C19" s="7" t="s">
        <v>18</v>
      </c>
      <c r="D19" s="28" t="s">
        <v>181</v>
      </c>
    </row>
    <row r="20" customFormat="false" ht="15" hidden="false" customHeight="false" outlineLevel="0" collapsed="false">
      <c r="A20" s="7" t="s">
        <v>182</v>
      </c>
      <c r="B20" s="10" t="n">
        <v>7000</v>
      </c>
      <c r="C20" s="7" t="s">
        <v>176</v>
      </c>
      <c r="D20" s="28" t="s">
        <v>166</v>
      </c>
    </row>
    <row r="21" customFormat="false" ht="15" hidden="false" customHeight="false" outlineLevel="0" collapsed="false">
      <c r="A21" s="7" t="s">
        <v>183</v>
      </c>
      <c r="B21" s="9" t="n">
        <v>3</v>
      </c>
      <c r="C21" s="7" t="s">
        <v>18</v>
      </c>
      <c r="D21" s="28" t="s">
        <v>184</v>
      </c>
    </row>
    <row r="22" customFormat="false" ht="15" hidden="false" customHeight="false" outlineLevel="0" collapsed="false">
      <c r="A22" s="7" t="s">
        <v>185</v>
      </c>
      <c r="B22" s="10" t="n">
        <v>15000</v>
      </c>
      <c r="C22" s="7" t="s">
        <v>176</v>
      </c>
      <c r="D22" s="28" t="s">
        <v>186</v>
      </c>
    </row>
    <row r="23" customFormat="false" ht="15" hidden="false" customHeight="false" outlineLevel="0" collapsed="false">
      <c r="A23" s="7" t="s">
        <v>187</v>
      </c>
      <c r="B23" s="11" t="n">
        <v>0.003</v>
      </c>
      <c r="C23" s="7"/>
      <c r="D23" s="28" t="s">
        <v>63</v>
      </c>
    </row>
    <row r="24" customFormat="false" ht="15" hidden="false" customHeight="false" outlineLevel="0" collapsed="false">
      <c r="A24" s="7" t="s">
        <v>65</v>
      </c>
      <c r="B24" s="10" t="n">
        <v>240</v>
      </c>
      <c r="C24" s="7" t="s">
        <v>176</v>
      </c>
      <c r="D24" s="28" t="s">
        <v>166</v>
      </c>
    </row>
    <row r="25" customFormat="false" ht="15" hidden="false" customHeight="false" outlineLevel="0" collapsed="false">
      <c r="A25" s="7" t="s">
        <v>188</v>
      </c>
      <c r="B25" s="11" t="n">
        <v>0.05</v>
      </c>
      <c r="C25" s="7"/>
      <c r="D25" s="28" t="s">
        <v>189</v>
      </c>
    </row>
    <row r="26" customFormat="false" ht="15" hidden="false" customHeight="false" outlineLevel="0" collapsed="false">
      <c r="A26" s="7" t="s">
        <v>190</v>
      </c>
      <c r="B26" s="10" t="n">
        <v>3</v>
      </c>
      <c r="C26" s="7" t="s">
        <v>176</v>
      </c>
      <c r="D26" s="28" t="s">
        <v>186</v>
      </c>
    </row>
    <row r="27" customFormat="false" ht="15" hidden="false" customHeight="false" outlineLevel="0" collapsed="false">
      <c r="A27" s="7" t="s">
        <v>191</v>
      </c>
      <c r="B27" s="10" t="n">
        <v>50</v>
      </c>
      <c r="C27" s="7" t="s">
        <v>192</v>
      </c>
      <c r="D27" s="28" t="s">
        <v>186</v>
      </c>
    </row>
    <row r="28" customFormat="false" ht="15" hidden="false" customHeight="false" outlineLevel="0" collapsed="false">
      <c r="A28" s="7" t="s">
        <v>122</v>
      </c>
      <c r="B28" s="10" t="n">
        <v>25000</v>
      </c>
      <c r="C28" s="7" t="s">
        <v>176</v>
      </c>
      <c r="D28" s="28" t="s">
        <v>123</v>
      </c>
    </row>
    <row r="29" customFormat="false" ht="15" hidden="false" customHeight="false" outlineLevel="0" collapsed="false">
      <c r="A29" s="7" t="s">
        <v>193</v>
      </c>
      <c r="B29" s="11" t="n">
        <v>0.04</v>
      </c>
      <c r="C29" s="7"/>
      <c r="D29" s="28" t="s">
        <v>186</v>
      </c>
    </row>
    <row r="30" customFormat="false" ht="15" hidden="false" customHeight="false" outlineLevel="0" collapsed="false">
      <c r="A30" s="7" t="s">
        <v>194</v>
      </c>
      <c r="B30" s="11" t="n">
        <v>0.18</v>
      </c>
      <c r="C30" s="7"/>
      <c r="D30" s="28" t="s">
        <v>186</v>
      </c>
    </row>
    <row r="31" customFormat="false" ht="15" hidden="false" customHeight="false" outlineLevel="0" collapsed="false">
      <c r="A31" s="7" t="s">
        <v>195</v>
      </c>
      <c r="B31" s="11" t="n">
        <v>0.2</v>
      </c>
      <c r="C31" s="7"/>
      <c r="D31" s="28" t="s">
        <v>196</v>
      </c>
    </row>
    <row r="32" customFormat="false" ht="15" hidden="false" customHeight="false" outlineLevel="0" collapsed="false">
      <c r="A32" s="7" t="s">
        <v>197</v>
      </c>
      <c r="B32" s="9" t="n">
        <v>674</v>
      </c>
      <c r="C32" s="7" t="s">
        <v>126</v>
      </c>
      <c r="D32" s="28" t="s">
        <v>198</v>
      </c>
    </row>
    <row r="33" customFormat="false" ht="15" hidden="false" customHeight="false" outlineLevel="0" collapsed="false">
      <c r="A33" s="7" t="s">
        <v>199</v>
      </c>
      <c r="B33" s="30" t="n">
        <v>0</v>
      </c>
      <c r="C33" s="7" t="s">
        <v>200</v>
      </c>
      <c r="D33" s="28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202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203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7" t="s">
        <v>2</v>
      </c>
      <c r="B4" s="27" t="s">
        <v>3</v>
      </c>
      <c r="C4" s="27" t="s">
        <v>4</v>
      </c>
      <c r="D4" s="27" t="s">
        <v>204</v>
      </c>
      <c r="E4" s="27" t="s">
        <v>132</v>
      </c>
      <c r="F4" s="27" t="s">
        <v>205</v>
      </c>
      <c r="G4" s="27" t="s">
        <v>6</v>
      </c>
      <c r="H4" s="27" t="s">
        <v>8</v>
      </c>
      <c r="I4" s="27" t="s">
        <v>10</v>
      </c>
    </row>
    <row r="5" customFormat="false" ht="15" hidden="false" customHeight="false" outlineLevel="0" collapsed="false">
      <c r="A5" s="20" t="s">
        <v>206</v>
      </c>
      <c r="B5" s="20" t="s">
        <v>207</v>
      </c>
      <c r="C5" s="20" t="s">
        <v>88</v>
      </c>
      <c r="D5" s="9" t="n">
        <v>789.9</v>
      </c>
      <c r="E5" s="11" t="n">
        <v>0.05</v>
      </c>
      <c r="F5" s="20" t="n">
        <f aca="false">ROUNDUP(D5*(1+E5),0)</f>
        <v>830</v>
      </c>
      <c r="G5" s="22" t="n">
        <v>1.35</v>
      </c>
      <c r="H5" s="12" t="n">
        <f aca="false">F5*G5</f>
        <v>1120.5</v>
      </c>
      <c r="I5" s="20" t="s">
        <v>208</v>
      </c>
    </row>
    <row r="6" customFormat="false" ht="15" hidden="false" customHeight="false" outlineLevel="0" collapsed="false">
      <c r="A6" s="20" t="s">
        <v>209</v>
      </c>
      <c r="B6" s="20" t="s">
        <v>210</v>
      </c>
      <c r="C6" s="20" t="s">
        <v>18</v>
      </c>
      <c r="D6" s="9" t="n">
        <v>578</v>
      </c>
      <c r="E6" s="11" t="n">
        <v>0.03</v>
      </c>
      <c r="F6" s="20" t="n">
        <f aca="false">ROUNDUP(D6*(1+E6),0)</f>
        <v>596</v>
      </c>
      <c r="G6" s="22" t="n">
        <v>0.5</v>
      </c>
      <c r="H6" s="12" t="n">
        <f aca="false">F6*G6</f>
        <v>298</v>
      </c>
      <c r="I6" s="20" t="s">
        <v>211</v>
      </c>
    </row>
    <row r="7" customFormat="false" ht="15" hidden="false" customHeight="false" outlineLevel="0" collapsed="false">
      <c r="A7" s="20" t="s">
        <v>212</v>
      </c>
      <c r="B7" s="20" t="s">
        <v>213</v>
      </c>
      <c r="C7" s="20" t="s">
        <v>18</v>
      </c>
      <c r="D7" s="9" t="n">
        <v>32</v>
      </c>
      <c r="E7" s="11" t="n">
        <v>0.03</v>
      </c>
      <c r="F7" s="20" t="n">
        <f aca="false">ROUNDUP(D7*(1+E7),0)</f>
        <v>33</v>
      </c>
      <c r="G7" s="22" t="n">
        <v>0.5</v>
      </c>
      <c r="H7" s="12" t="n">
        <f aca="false">F7*G7</f>
        <v>16.5</v>
      </c>
      <c r="I7" s="20" t="s">
        <v>214</v>
      </c>
    </row>
    <row r="8" customFormat="false" ht="15" hidden="false" customHeight="false" outlineLevel="0" collapsed="false">
      <c r="A8" s="20" t="s">
        <v>215</v>
      </c>
      <c r="B8" s="20" t="s">
        <v>216</v>
      </c>
      <c r="C8" s="20" t="s">
        <v>18</v>
      </c>
      <c r="D8" s="21" t="n">
        <f aca="false">ROUNDUP(D5/D9,0)+16</f>
        <v>543</v>
      </c>
      <c r="E8" s="11" t="n">
        <v>0.03</v>
      </c>
      <c r="F8" s="20" t="n">
        <f aca="false">ROUNDUP(D8*(1+E8),0)</f>
        <v>560</v>
      </c>
      <c r="G8" s="30" t="n">
        <v>2</v>
      </c>
      <c r="H8" s="12" t="n">
        <f aca="false">F8*G8</f>
        <v>1120</v>
      </c>
      <c r="I8" s="20" t="s">
        <v>217</v>
      </c>
    </row>
    <row r="9" customFormat="false" ht="15" hidden="false" customHeight="false" outlineLevel="0" collapsed="false">
      <c r="A9" s="20" t="s">
        <v>218</v>
      </c>
      <c r="B9" s="20" t="s">
        <v>219</v>
      </c>
      <c r="C9" s="20" t="s">
        <v>88</v>
      </c>
      <c r="D9" s="31" t="n">
        <v>1.5</v>
      </c>
      <c r="E9" s="20"/>
      <c r="F9" s="20"/>
      <c r="G9" s="20"/>
      <c r="H9" s="20"/>
      <c r="I9" s="20" t="s">
        <v>220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2"/>
      <c r="B11" s="17" t="s">
        <v>221</v>
      </c>
      <c r="C11" s="2"/>
      <c r="D11" s="2"/>
      <c r="E11" s="2"/>
      <c r="F11" s="2"/>
      <c r="G11" s="2"/>
      <c r="H11" s="18" t="n">
        <f aca="false">SUM(H5:H8)</f>
        <v>2555</v>
      </c>
      <c r="I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"/>
      <c r="B13" s="3" t="s">
        <v>222</v>
      </c>
      <c r="C13" s="2"/>
      <c r="D13" s="2"/>
      <c r="E13" s="2"/>
      <c r="F13" s="2"/>
      <c r="G13" s="2"/>
      <c r="H13" s="2"/>
      <c r="I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1" t="s">
        <v>223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224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7" t="s">
        <v>3</v>
      </c>
      <c r="B4" s="27" t="s">
        <v>4</v>
      </c>
      <c r="C4" s="27" t="s">
        <v>225</v>
      </c>
      <c r="D4" s="27" t="s">
        <v>226</v>
      </c>
      <c r="E4" s="27" t="s">
        <v>227</v>
      </c>
      <c r="F4" s="27" t="s">
        <v>228</v>
      </c>
    </row>
    <row r="5" customFormat="false" ht="15" hidden="false" customHeight="false" outlineLevel="0" collapsed="false">
      <c r="A5" s="20" t="s">
        <v>229</v>
      </c>
      <c r="B5" s="20" t="s">
        <v>18</v>
      </c>
      <c r="C5" s="32" t="n">
        <v>1964</v>
      </c>
      <c r="D5" s="33" t="n">
        <f aca="false">Параметри!$B$10</f>
        <v>2155</v>
      </c>
      <c r="E5" s="28" t="s">
        <v>230</v>
      </c>
      <c r="F5" s="28" t="s">
        <v>231</v>
      </c>
    </row>
    <row r="6" customFormat="false" ht="15" hidden="false" customHeight="false" outlineLevel="0" collapsed="false">
      <c r="A6" s="20" t="s">
        <v>232</v>
      </c>
      <c r="B6" s="20" t="s">
        <v>18</v>
      </c>
      <c r="C6" s="32" t="n">
        <v>27</v>
      </c>
      <c r="D6" s="33" t="n">
        <f aca="false">Параметри!$B$15+1</f>
        <v>31</v>
      </c>
      <c r="E6" s="28" t="s">
        <v>233</v>
      </c>
      <c r="F6" s="28" t="s">
        <v>234</v>
      </c>
    </row>
    <row r="7" customFormat="false" ht="15" hidden="false" customHeight="false" outlineLevel="0" collapsed="false">
      <c r="A7" s="20" t="s">
        <v>235</v>
      </c>
      <c r="B7" s="20" t="s">
        <v>236</v>
      </c>
      <c r="C7" s="32" t="n">
        <v>189</v>
      </c>
      <c r="D7" s="33" t="n">
        <f aca="false">(Параметри!$B$15+1)*7</f>
        <v>217</v>
      </c>
      <c r="E7" s="28" t="s">
        <v>237</v>
      </c>
      <c r="F7" s="28"/>
    </row>
    <row r="8" customFormat="false" ht="15" hidden="false" customHeight="false" outlineLevel="0" collapsed="false">
      <c r="A8" s="20" t="s">
        <v>238</v>
      </c>
      <c r="B8" s="20" t="s">
        <v>236</v>
      </c>
      <c r="C8" s="32" t="n">
        <v>595</v>
      </c>
      <c r="D8" s="33" t="n">
        <f aca="false">ROUNDUP(595*Параметри!$B$13/Параметри!$B$14,0)</f>
        <v>653</v>
      </c>
      <c r="E8" s="28" t="s">
        <v>239</v>
      </c>
      <c r="F8" s="28"/>
    </row>
    <row r="9" customFormat="false" ht="15" hidden="false" customHeight="false" outlineLevel="0" collapsed="false">
      <c r="A9" s="20" t="s">
        <v>240</v>
      </c>
      <c r="B9" s="20" t="s">
        <v>88</v>
      </c>
      <c r="C9" s="32" t="s">
        <v>241</v>
      </c>
      <c r="D9" s="33" t="str">
        <f aca="false">TEXT(CEILING(4500*Параметри!$B$13/Параметри!$B$14,500),"# ##0")&amp;" / "&amp;TEXT(CEILING(5000*Параметри!$B$13/Параметри!$B$14,500),"# ##0")</f>
        <v>5 000 / 5 500</v>
      </c>
      <c r="E9" s="28" t="s">
        <v>242</v>
      </c>
      <c r="F9" s="28" t="s">
        <v>243</v>
      </c>
    </row>
    <row r="10" customFormat="false" ht="15" hidden="false" customHeight="false" outlineLevel="0" collapsed="false">
      <c r="A10" s="20" t="s">
        <v>244</v>
      </c>
      <c r="B10" s="20" t="s">
        <v>88</v>
      </c>
      <c r="C10" s="32" t="n">
        <v>850</v>
      </c>
      <c r="D10" s="33" t="n">
        <f aca="false">CEILING(850*Параметри!$B$13/Параметри!$B$14,50)</f>
        <v>950</v>
      </c>
      <c r="E10" s="28" t="s">
        <v>239</v>
      </c>
      <c r="F10" s="28"/>
    </row>
    <row r="11" customFormat="false" ht="15" hidden="false" customHeight="false" outlineLevel="0" collapsed="false">
      <c r="A11" s="20" t="s">
        <v>245</v>
      </c>
      <c r="B11" s="20" t="s">
        <v>88</v>
      </c>
      <c r="C11" s="32" t="s">
        <v>246</v>
      </c>
      <c r="D11" s="33" t="str">
        <f aca="false">TEXT(ROUND(942*Параметри!$B$15/Параметри!$B$16,0),"# ##0")&amp;" / "&amp;TEXT(ROUND(3214*Параметри!$B$15/Параметри!$B$16,0),"# ##0")&amp;" / "&amp;TEXT(ROUND(3532*Параметри!$B$15/Параметри!$B$16,0),"# ##0")</f>
        <v>1 087 / 3 708 / 4 075</v>
      </c>
      <c r="E11" s="28" t="s">
        <v>247</v>
      </c>
      <c r="F11" s="28" t="s">
        <v>248</v>
      </c>
    </row>
    <row r="12" customFormat="false" ht="15" hidden="false" customHeight="false" outlineLevel="0" collapsed="false">
      <c r="A12" s="20" t="s">
        <v>249</v>
      </c>
      <c r="B12" s="20" t="s">
        <v>18</v>
      </c>
      <c r="C12" s="32" t="n">
        <v>1990</v>
      </c>
      <c r="D12" s="33" t="n">
        <f aca="false">ROUND(1990*Параметри!$B$5/Параметри!$B$12,0)</f>
        <v>1865</v>
      </c>
      <c r="E12" s="28" t="s">
        <v>250</v>
      </c>
      <c r="F12" s="28" t="s">
        <v>251</v>
      </c>
    </row>
    <row r="13" customFormat="false" ht="15" hidden="false" customHeight="false" outlineLevel="0" collapsed="false">
      <c r="A13" s="20" t="s">
        <v>252</v>
      </c>
      <c r="B13" s="20" t="s">
        <v>18</v>
      </c>
      <c r="C13" s="32" t="n">
        <v>1715</v>
      </c>
      <c r="D13" s="33" t="n">
        <f aca="false">ROUND(1715*Параметри!$B$5/Параметри!$B$12,0)</f>
        <v>1607</v>
      </c>
      <c r="E13" s="28" t="s">
        <v>76</v>
      </c>
      <c r="F13" s="28" t="s">
        <v>251</v>
      </c>
    </row>
    <row r="14" customFormat="false" ht="15" hidden="false" customHeight="false" outlineLevel="0" collapsed="false">
      <c r="A14" s="20" t="s">
        <v>253</v>
      </c>
      <c r="B14" s="20" t="s">
        <v>18</v>
      </c>
      <c r="C14" s="32" t="n">
        <v>936</v>
      </c>
      <c r="D14" s="33" t="n">
        <f aca="false">ROUND(936*Параметри!$B$5/Параметри!$B$12,0)</f>
        <v>877</v>
      </c>
      <c r="E14" s="28" t="s">
        <v>76</v>
      </c>
      <c r="F14" s="28" t="s">
        <v>251</v>
      </c>
    </row>
    <row r="15" customFormat="false" ht="15" hidden="false" customHeight="false" outlineLevel="0" collapsed="false">
      <c r="A15" s="20" t="s">
        <v>254</v>
      </c>
      <c r="B15" s="20" t="s">
        <v>88</v>
      </c>
      <c r="C15" s="32" t="n">
        <v>0</v>
      </c>
      <c r="D15" s="33" t="n">
        <f aca="false">Ліхтарі!F5</f>
        <v>830</v>
      </c>
      <c r="E15" s="28" t="s">
        <v>25</v>
      </c>
      <c r="F15" s="28" t="s">
        <v>255</v>
      </c>
    </row>
    <row r="16" customFormat="false" ht="15" hidden="false" customHeight="false" outlineLevel="0" collapsed="false">
      <c r="A16" s="20" t="s">
        <v>256</v>
      </c>
      <c r="B16" s="20" t="s">
        <v>18</v>
      </c>
      <c r="C16" s="32" t="n">
        <v>0</v>
      </c>
      <c r="D16" s="33" t="n">
        <f aca="false">Ліхтарі!F6</f>
        <v>596</v>
      </c>
      <c r="E16" s="28" t="s">
        <v>25</v>
      </c>
      <c r="F16" s="28"/>
    </row>
    <row r="17" customFormat="false" ht="15" hidden="false" customHeight="false" outlineLevel="0" collapsed="false">
      <c r="A17" s="20" t="s">
        <v>257</v>
      </c>
      <c r="B17" s="20" t="s">
        <v>18</v>
      </c>
      <c r="C17" s="32" t="n">
        <v>0</v>
      </c>
      <c r="D17" s="33" t="n">
        <f aca="false">Ліхтарі!F7</f>
        <v>33</v>
      </c>
      <c r="E17" s="28" t="s">
        <v>25</v>
      </c>
      <c r="F17" s="28"/>
    </row>
    <row r="18" customFormat="false" ht="15" hidden="false" customHeight="false" outlineLevel="0" collapsed="false">
      <c r="A18" s="20" t="s">
        <v>258</v>
      </c>
      <c r="B18" s="20" t="s">
        <v>18</v>
      </c>
      <c r="C18" s="32" t="n">
        <v>0</v>
      </c>
      <c r="D18" s="33" t="n">
        <f aca="false">Ліхтарі!F8</f>
        <v>560</v>
      </c>
      <c r="E18" s="28" t="s">
        <v>259</v>
      </c>
      <c r="F18" s="28" t="s">
        <v>260</v>
      </c>
    </row>
    <row r="19" customFormat="false" ht="15" hidden="false" customHeight="false" outlineLevel="0" collapsed="false">
      <c r="A19" s="20" t="s">
        <v>261</v>
      </c>
      <c r="B19" s="20" t="s">
        <v>18</v>
      </c>
      <c r="C19" s="32" t="n">
        <v>6583</v>
      </c>
      <c r="D19" s="33" t="n">
        <f aca="false">Кошторис!D36</f>
        <v>6227</v>
      </c>
      <c r="E19" s="28" t="s">
        <v>262</v>
      </c>
      <c r="F19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2026-10-27T19:08:39Z</dcterms:created>
  <dc:creator>openpyxl</dc:creator>
  <dc:description/>
  <dc:language>en-US</dc:language>
  <cp:lastModifiedBy/>
  <dcterms:modified xsi:type="dcterms:W3CDTF">2026-10-27T19:08:39Z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