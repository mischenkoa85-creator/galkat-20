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ошторис" sheetId="1" state="visible" r:id="rId3"/>
    <sheet name="Специфікація" sheetId="2" state="visible" r:id="rId4"/>
    <sheet name="Стрінги" sheetId="3" state="visible" r:id="rId5"/>
    <sheet name="Параметр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<sst xmlns="http://schemas.openxmlformats.org/spreadsheetml/2006/main" count="988" uniqueCount="699">
  <si>
    <t xml:space="preserve">Кошторис будівництва під ключ — СЕС на даху АБК, ТОВ МК «Антарес», варіант «ДБН»</t>
  </si>
  <si>
    <t xml:space="preserve">Turnkey construction estimate — rooftop PV plant on the administrative building, Antares LLC, DBN-compliant option</t>
  </si>
  <si>
    <t xml:space="preserve">Інвертор Deye SUN-100K-G03 (100 кВт, DC до 1 000 В), 132 модулів ZNSHINE 730 Вт у 11 стрінгах по 12. $ без ПДВ. / Inverter Deye SUN-100K-G03 (100 kW, DC up to 1000 V), 132 ZNSHINE 730 W modules in 11 strings of 12. USD excl. VAT.</t>
  </si>
  <si>
    <t xml:space="preserve">№</t>
  </si>
  <si>
    <t xml:space="preserve">Позиція</t>
  </si>
  <si>
    <t xml:space="preserve">Item</t>
  </si>
  <si>
    <t xml:space="preserve">Од. / Unit</t>
  </si>
  <si>
    <t xml:space="preserve">К-сть / Qty</t>
  </si>
  <si>
    <t xml:space="preserve">Ціна, $ / Price, $</t>
  </si>
  <si>
    <t xml:space="preserve">Мито / Duty</t>
  </si>
  <si>
    <t xml:space="preserve">Сума, $ / Amount, $</t>
  </si>
  <si>
    <t xml:space="preserve">Підстава / Basis</t>
  </si>
  <si>
    <t xml:space="preserve">1. Закупівля в Китаї, FOB — разом із замовленням СЕС цеху</t>
  </si>
  <si>
    <t xml:space="preserve">1. Purchase in China, FOB — together with the shop roof PV order</t>
  </si>
  <si>
    <t xml:space="preserve">1.1</t>
  </si>
  <si>
    <t xml:space="preserve">Фотомодулі ZNSHINE ZXN8-BD132-730 (730 Вт, виводи 1,2–1,4 м), з запасом 2 %</t>
  </si>
  <si>
    <t xml:space="preserve">PV modules ZNSHINE ZXN8-BD132-730 (730 W, leads 1.2–1.4 m), 2 % spare</t>
  </si>
  <si>
    <t xml:space="preserve">шт / pcs</t>
  </si>
  <si>
    <t xml:space="preserve">кошторис під ключ 27.10 / turnkey estimate 27.10, поз. 1.2</t>
  </si>
  <si>
    <t xml:space="preserve">1.2</t>
  </si>
  <si>
    <t xml:space="preserve">Кріплення на арці «Лага 0°»: лаги 41×41, гільзи з муфтами, шпильки M10, крайні профілі, кутники, притиски, метизи</t>
  </si>
  <si>
    <t xml:space="preserve">Arch mounting "Rail 0°": 41×41 rails, sleeves with couplings, M10 rods, edge profiles, angles, clamps, fasteners</t>
  </si>
  <si>
    <t xml:space="preserve">модуль / module</t>
  </si>
  <si>
    <t xml:space="preserve">КП 26.10, на модуль / per module</t>
  </si>
  <si>
    <t xml:space="preserve">1.3</t>
  </si>
  <si>
    <t xml:space="preserve">Кріплення 15° на нижньому даху і надбудові: опори «доміку» і трикутники під одиночні модулі, П-кронштейни, діагоналі, притиски, метизи</t>
  </si>
  <si>
    <t xml:space="preserve">15° mounting on lower roof and stair house: dual-tilt supports and triangles for single modules, U-brackets, diagonals, clamps, fasteners</t>
  </si>
  <si>
    <t xml:space="preserve">ГалКат 15° 22.10, на модуль / per module</t>
  </si>
  <si>
    <t xml:space="preserve">1.4</t>
  </si>
  <si>
    <t xml:space="preserve">Кріплення на південних стінах: рейки 41×41×2,5, кронштейни з анкерами, притиски, трос безпеки</t>
  </si>
  <si>
    <t xml:space="preserve">South wall mounting: 41×41×2.5 rails, brackets with anchors, clamps, safety rope</t>
  </si>
  <si>
    <t xml:space="preserve">кошторис під ключ 27.10 / turnkey estimate 27.10, поз. 1.3.2</t>
  </si>
  <si>
    <t xml:space="preserve">1.5</t>
  </si>
  <si>
    <t xml:space="preserve">Кабелі DC H1Z2Z2-K 1×6 мм², роз'єми MC4, металорукав, стяжки, бирки</t>
  </si>
  <si>
    <t xml:space="preserve">DC cables H1Z2Z2-K 1×6 mm², MC4 connectors, conduit, ties, labels</t>
  </si>
  <si>
    <t xml:space="preserve">стрінг / string</t>
  </si>
  <si>
    <t xml:space="preserve">кошторис під ключ 27.10 / turnkey estimate 27.10, поз. 1.4</t>
  </si>
  <si>
    <t xml:space="preserve">1.6</t>
  </si>
  <si>
    <t xml:space="preserve">Лотки 100×50 з кришками, фасонні, опори, кронштейни, з'єднувачі</t>
  </si>
  <si>
    <t xml:space="preserve">Trays 100×50 with lids, fittings, supports, brackets, couplers</t>
  </si>
  <si>
    <t xml:space="preserve">кошторис під ключ 27.10 / turnkey estimate 27.10, поз. 1.7</t>
  </si>
  <si>
    <t xml:space="preserve">1.7</t>
  </si>
  <si>
    <t xml:space="preserve">Блискавкозахист і вирівнювання потенціалів: ПЗІП RS485, провідники 1×6 і 1×16, затискачі, контактні шайби</t>
  </si>
  <si>
    <t xml:space="preserve">Lightning protection and bonding: RS485 SPD, 1×6 and 1×16 conductors, clamps, contact washers</t>
  </si>
  <si>
    <t xml:space="preserve">кошторис під ключ 27.10 / turnkey estimate 27.10, поз. 1.8</t>
  </si>
  <si>
    <t xml:space="preserve">1.8</t>
  </si>
  <si>
    <t xml:space="preserve">Кабель RS485 2×2×0,75 в екрані — лічильник → інвертор</t>
  </si>
  <si>
    <t xml:space="preserve">RS485 cable 2×2×0.75 screened — meter to inverter</t>
  </si>
  <si>
    <t xml:space="preserve">м / m</t>
  </si>
  <si>
    <t xml:space="preserve">специфікація Китай 26.10 / China spec</t>
  </si>
  <si>
    <t xml:space="preserve">Разом закупівля в Китаї</t>
  </si>
  <si>
    <t xml:space="preserve">Total purchase in China</t>
  </si>
  <si>
    <t xml:space="preserve">2. Наша комісія — супровід замовлення за договором комісії</t>
  </si>
  <si>
    <t xml:space="preserve">2. Our commission — order support under commission agreement</t>
  </si>
  <si>
    <t xml:space="preserve">2.1</t>
  </si>
  <si>
    <t xml:space="preserve">Комісія від закупівлі в Китаї</t>
  </si>
  <si>
    <t xml:space="preserve">Commission on China purchase</t>
  </si>
  <si>
    <t xml:space="preserve">договір комісії / agreement</t>
  </si>
  <si>
    <t xml:space="preserve">Разом комісія</t>
  </si>
  <si>
    <t xml:space="preserve">Total commission</t>
  </si>
  <si>
    <t xml:space="preserve">3. Доставка до об'єкта, страхування, мито</t>
  </si>
  <si>
    <t xml:space="preserve">3. Delivery to site, insurance, customs duty</t>
  </si>
  <si>
    <t xml:space="preserve">3.1</t>
  </si>
  <si>
    <t xml:space="preserve">Доставка модулів у контейнерах 40'HQ</t>
  </si>
  <si>
    <t xml:space="preserve">Module freight in 40'HQ containers</t>
  </si>
  <si>
    <t xml:space="preserve">кошторис під ключ 27.10 / turnkey estimate 27.10, поз. 3.2</t>
  </si>
  <si>
    <t xml:space="preserve">3.2</t>
  </si>
  <si>
    <t xml:space="preserve">Доставка кріплення, кабелів і лотків</t>
  </si>
  <si>
    <t xml:space="preserve">Freight of mounting, cables and trays</t>
  </si>
  <si>
    <t xml:space="preserve">кошторис під ключ 27.10 / turnkey estimate 27.10, поз. 3.3</t>
  </si>
  <si>
    <t xml:space="preserve">3.3</t>
  </si>
  <si>
    <t xml:space="preserve">Страхування вантажу, крім модулів</t>
  </si>
  <si>
    <t xml:space="preserve">Cargo insurance, except modules</t>
  </si>
  <si>
    <t xml:space="preserve">кошторис під ключ 27.10 / turnkey estimate 27.10</t>
  </si>
  <si>
    <t xml:space="preserve">3.4</t>
  </si>
  <si>
    <t xml:space="preserve">Мито на товари, крім модулів (модулі — пільга «245»)</t>
  </si>
  <si>
    <t xml:space="preserve">Customs duty except modules (modules — "245" exemption)</t>
  </si>
  <si>
    <t xml:space="preserve">ставки за кодами УКТ ЗЕД / tariff rates</t>
  </si>
  <si>
    <t xml:space="preserve">Разом доставка і мито</t>
  </si>
  <si>
    <t xml:space="preserve">Total delivery and duty</t>
  </si>
  <si>
    <t xml:space="preserve">4. Купуємо в Україні: інвертор, підключення, баласт, безпека покрівлі</t>
  </si>
  <si>
    <t xml:space="preserve">4. Purchased in Ukraine: inverter, connection, ballast, roof safety</t>
  </si>
  <si>
    <t xml:space="preserve">4.1</t>
  </si>
  <si>
    <t xml:space="preserve">Інвертор мережевий Deye SUN-100K-G03: 100 кВт, 3 фази 400 В, 6 MPPT, DC до 1 000 В, IP65; DC-роз'єднувач, ПЗІП тип II на DC і AC</t>
  </si>
  <si>
    <t xml:space="preserve">Grid inverter Deye SUN-100K-G03: 100 kW, 3-phase 400 V, 6 MPPT, DC up to 1000 V, IP65; DC switch, type II SPD on DC and AC</t>
  </si>
  <si>
    <t xml:space="preserve">220volt.com.ua, 28.10.2026, у наявності</t>
  </si>
  <si>
    <t xml:space="preserve">4.2</t>
  </si>
  <si>
    <t xml:space="preserve">Баластний блок 300×300×60 з муфтою: під лаги, опори «доміку» і трикутники — з матом, під крайні профілі арки — без мата; опори лотків (+1 %)</t>
  </si>
  <si>
    <t xml:space="preserve">Ballast block 300×300×60 with coupling: under rails, dual-tilt supports and triangles — with mat, under arch edge profiles — without mat; tray supports (+1 %)</t>
  </si>
  <si>
    <t xml:space="preserve">рішення власника 26.10 / owner decision</t>
  </si>
  <si>
    <t xml:space="preserve">4.3</t>
  </si>
  <si>
    <t xml:space="preserve">Кабель ВВГнг 5×70 мм², мідь — інвертор → щит СЕС біля вступного щита АБК</t>
  </si>
  <si>
    <t xml:space="preserve">Cable VVGng 5×70 mm² copper — inverter to PV board at the building main board</t>
  </si>
  <si>
    <t xml:space="preserve">amperia.com.ua, 28.10.2026, у наявності</t>
  </si>
  <si>
    <t xml:space="preserve">4.4</t>
  </si>
  <si>
    <t xml:space="preserve">Щит СЕС: автоматичний вимикач ABB A2B 250 TMF 200 (3P, 200 А) у корпусі IP54</t>
  </si>
  <si>
    <t xml:space="preserve">PV board: MCCB ABB A2B 250 TMF 200 (3P, 200 A) in IP54 enclosure</t>
  </si>
  <si>
    <t xml:space="preserve">компл / set</t>
  </si>
  <si>
    <t xml:space="preserve">electroelan.dp.ua, 28.10.2026; 220volt.com.ua, 28.10.2026</t>
  </si>
  <si>
    <t xml:space="preserve">4.5</t>
  </si>
  <si>
    <t xml:space="preserve">ПЗІП AC тип 2, 4P (Eaton SPCT2-280/4) у щиті СЕС</t>
  </si>
  <si>
    <t xml:space="preserve">AC surge protector type 2, 4P (Eaton SPCT2-280/4) in PV board</t>
  </si>
  <si>
    <t xml:space="preserve">001.com.ua, 28.10.2026</t>
  </si>
  <si>
    <t xml:space="preserve">4.6</t>
  </si>
  <si>
    <t xml:space="preserve">Лічильник CHINT DTSU666 з трансформаторами струму 250 А — обмеження видачі в мережу (Zero Export)</t>
  </si>
  <si>
    <t xml:space="preserve">Meter CHINT DTSU666 with 250 A CTs — export limiting (Zero Export)</t>
  </si>
  <si>
    <t xml:space="preserve">hotline.ua (Технопоставка), 28.10.2026</t>
  </si>
  <si>
    <t xml:space="preserve">4.7</t>
  </si>
  <si>
    <t xml:space="preserve">Доставка матеріалів України на об'єкт</t>
  </si>
  <si>
    <t xml:space="preserve">Delivery of Ukrainian materials to site</t>
  </si>
  <si>
    <t xml:space="preserve">блок / block</t>
  </si>
  <si>
    <t xml:space="preserve">кошторис під ключ 27.10 / turnkey estimate 27.10, поз. 4.9</t>
  </si>
  <si>
    <t xml:space="preserve">4.8</t>
  </si>
  <si>
    <t xml:space="preserve">Драбина П1 на арку з поручнями над парапетом</t>
  </si>
  <si>
    <t xml:space="preserve">Fixed ladder P1 to the arch with handrails above parapet</t>
  </si>
  <si>
    <t xml:space="preserve">flagma.ua (ПП «Ліга», Київ), 28.10.2026</t>
  </si>
  <si>
    <t xml:space="preserve">4.9</t>
  </si>
  <si>
    <t xml:space="preserve">Площадка з огорожею 0,6 м на арці перед виходом на покрівлю</t>
  </si>
  <si>
    <t xml:space="preserve">Landing with 0.6 m guard on the arch at the roof exit</t>
  </si>
  <si>
    <t xml:space="preserve">ціна — за КП виробника драбини / price per ladder maker quote</t>
  </si>
  <si>
    <t xml:space="preserve">4.10</t>
  </si>
  <si>
    <t xml:space="preserve">Драбини П1 на надбудову сходів (2 шт.)</t>
  </si>
  <si>
    <t xml:space="preserve">Fixed ladders P1 to the stair house (2 pcs)</t>
  </si>
  <si>
    <t xml:space="preserve">4.11</t>
  </si>
  <si>
    <t xml:space="preserve">Огородження покрівлі 0,6 м, металеве</t>
  </si>
  <si>
    <t xml:space="preserve">Roof guardrail 0.6 m, steel</t>
  </si>
  <si>
    <t xml:space="preserve">prom.ua (Профі Фасад), 28.10.2026</t>
  </si>
  <si>
    <t xml:space="preserve">4.12</t>
  </si>
  <si>
    <t xml:space="preserve">Ходові доріжки 0,8 м — гумові плити 500×500×20 мм</t>
  </si>
  <si>
    <t xml:space="preserve">Walkways 0.8 m — rubber tiles 500×500×20 mm</t>
  </si>
  <si>
    <t xml:space="preserve">м² / m²</t>
  </si>
  <si>
    <t xml:space="preserve">reziplit.in.ua, 28.10.2026</t>
  </si>
  <si>
    <t xml:space="preserve">4.13</t>
  </si>
  <si>
    <t xml:space="preserve">Анкер від сповзання на арці, до основи покрівлі, з герметизацією</t>
  </si>
  <si>
    <t xml:space="preserve">Anti-slide anchor on the arch, to the roof deck, with sealing</t>
  </si>
  <si>
    <t xml:space="preserve">кошторис СЕС і УЗЕ 26.10 / estimate 26.10</t>
  </si>
  <si>
    <t xml:space="preserve">Разом купуємо в Україні</t>
  </si>
  <si>
    <t xml:space="preserve">Total purchased in Ukraine</t>
  </si>
  <si>
    <t xml:space="preserve">5. Роботи</t>
  </si>
  <si>
    <t xml:space="preserve">5. Works</t>
  </si>
  <si>
    <t xml:space="preserve">5.1</t>
  </si>
  <si>
    <t xml:space="preserve">Встановлення і наладка СЕС, електромонтажні роботи DC і AC, налаштування Zero Export, вимірювання</t>
  </si>
  <si>
    <t xml:space="preserve">PV installation and commissioning, DC and AC electrical works, Zero Export set-up, measurements</t>
  </si>
  <si>
    <t xml:space="preserve">кВтп / kWp</t>
  </si>
  <si>
    <t xml:space="preserve">5.2</t>
  </si>
  <si>
    <t xml:space="preserve">Механізація: автокран і автовишка</t>
  </si>
  <si>
    <t xml:space="preserve">Crane and aerial lift</t>
  </si>
  <si>
    <t xml:space="preserve">кошторис під ключ 27.10 / turnkey estimate 27.10, поз. 5.2</t>
  </si>
  <si>
    <t xml:space="preserve">5.3</t>
  </si>
  <si>
    <t xml:space="preserve">Витратні матеріали: наконечники, маркування, прохід крізь стіну, ЗІЗ, вивезення упаковки</t>
  </si>
  <si>
    <t xml:space="preserve">Consumables: lugs, marking, wall pass-through, PPE, packaging removal</t>
  </si>
  <si>
    <t xml:space="preserve">кошторис під ключ 27.10 / turnkey estimate 27.10, поз. 5.8</t>
  </si>
  <si>
    <t xml:space="preserve">5.4</t>
  </si>
  <si>
    <t xml:space="preserve">Монтаж драбин П1, площадки, огородження з анкеруванням стійок, укладання доріжок</t>
  </si>
  <si>
    <t xml:space="preserve">Installation of P1 ladders, landing, guardrail with anchored posts, walkways</t>
  </si>
  <si>
    <t xml:space="preserve">люд.·год / man-h</t>
  </si>
  <si>
    <t xml:space="preserve">700 грн/люд.·год / UAH per man-hour</t>
  </si>
  <si>
    <t xml:space="preserve">Разом роботи</t>
  </si>
  <si>
    <t xml:space="preserve">Total works</t>
  </si>
  <si>
    <t xml:space="preserve">СОБІВАРТІСТЬ (розділи 1–5)</t>
  </si>
  <si>
    <t xml:space="preserve">COST (sections 1–5)</t>
  </si>
  <si>
    <t xml:space="preserve">6. Запас і винагорода генпідрядника</t>
  </si>
  <si>
    <t xml:space="preserve">6. Contingency and general contractor fee</t>
  </si>
  <si>
    <t xml:space="preserve">6.1</t>
  </si>
  <si>
    <t xml:space="preserve">Запас</t>
  </si>
  <si>
    <t xml:space="preserve">Contingency</t>
  </si>
  <si>
    <t xml:space="preserve">рішення власника 26.10</t>
  </si>
  <si>
    <t xml:space="preserve">6.2</t>
  </si>
  <si>
    <t xml:space="preserve">Винагорода генпідрядника</t>
  </si>
  <si>
    <t xml:space="preserve">General contractor fee</t>
  </si>
  <si>
    <t xml:space="preserve">Разом запас і винагорода</t>
  </si>
  <si>
    <t xml:space="preserve">Total contingency and fee</t>
  </si>
  <si>
    <t xml:space="preserve">РАЗОМ ПІД КЛЮЧ, $ без ПДВ</t>
  </si>
  <si>
    <t xml:space="preserve">TOTAL TURNKEY, USD excl. VAT</t>
  </si>
  <si>
    <t xml:space="preserve">ПДВ 20 % на всю суму</t>
  </si>
  <si>
    <t xml:space="preserve">VAT 20 % on the full amount</t>
  </si>
  <si>
    <t xml:space="preserve">РАЗОМ ПІД КЛЮЧ, $ з ПДВ</t>
  </si>
  <si>
    <t xml:space="preserve">TOTAL TURNKEY, USD incl. VAT</t>
  </si>
  <si>
    <t xml:space="preserve">ПДВ 20 %, якщо модулі ввозяться на замовника за пільгою «245»</t>
  </si>
  <si>
    <t xml:space="preserve">VAT 20 % if modules are imported by the customer under the "245" exemption</t>
  </si>
  <si>
    <t xml:space="preserve">РАЗОМ ПІД КЛЮЧ, $ з ПДВ (з пільгою «245»)</t>
  </si>
  <si>
    <t xml:space="preserve">TOTAL TURNKEY, USD incl. VAT ("245" exemption)</t>
  </si>
  <si>
    <t xml:space="preserve">На 1 кВтп СЕС, $ без ПДВ</t>
  </si>
  <si>
    <t xml:space="preserve">Per 1 kWp, USD excl. VAT</t>
  </si>
  <si>
    <t xml:space="preserve">7. Ефект СЕС для АБК</t>
  </si>
  <si>
    <t xml:space="preserve">7. Effect of the PV plant for the building</t>
  </si>
  <si>
    <t xml:space="preserve">Потужність СЕС DC / AC інвертора 100 кВт</t>
  </si>
  <si>
    <t xml:space="preserve">PV capacity DC / inverter AC 100 kW</t>
  </si>
  <si>
    <t xml:space="preserve">Генерація модулів за рік (DC, повна модель K1)</t>
  </si>
  <si>
    <t xml:space="preserve">Annual module yield (DC, full K1 model)</t>
  </si>
  <si>
    <t xml:space="preserve">МВт·год / MWh</t>
  </si>
  <si>
    <t xml:space="preserve">Генерація на виході інвертора за рік</t>
  </si>
  <si>
    <t xml:space="preserve">Annual inverter AC output</t>
  </si>
  <si>
    <t xml:space="preserve">Питома генерація</t>
  </si>
  <si>
    <t xml:space="preserve">Specific yield</t>
  </si>
  <si>
    <t xml:space="preserve">кВт·год/кВтп</t>
  </si>
  <si>
    <t xml:space="preserve">Ціна 1 кВт·год без ПДВ</t>
  </si>
  <si>
    <t xml:space="preserve">Electricity price excl. VAT</t>
  </si>
  <si>
    <t xml:space="preserve">$/кВт·год</t>
  </si>
  <si>
    <t xml:space="preserve">Економія за перший рік, $ без ПДВ</t>
  </si>
  <si>
    <t xml:space="preserve">First-year savings, USD excl. VAT</t>
  </si>
  <si>
    <t xml:space="preserve">$</t>
  </si>
  <si>
    <t xml:space="preserve">Проста окупність, без ПДВ</t>
  </si>
  <si>
    <t xml:space="preserve">Simple payback, excl. VAT</t>
  </si>
  <si>
    <t xml:space="preserve">років / years</t>
  </si>
  <si>
    <t xml:space="preserve">Вартість під ключ на 1 МВт·год річної генерації</t>
  </si>
  <si>
    <t xml:space="preserve">Turnkey cost per 1 MWh of annual yield</t>
  </si>
  <si>
    <t xml:space="preserve">Стрінги: 11 × 12 модулів, по 2 на MPPT, стрінг стін — на окремому MPPT; Voc при −30 °C — 676 В ≤ 1 000 В. Повна специфікація — аркуш «Специфікація», стрінги — аркуш «Стрінги».</t>
  </si>
  <si>
    <t xml:space="preserve">Strings: 11 × 12 modules, 2 per MPPT, the wall string on its own MPPT; Voc at −30 °C 676 V ≤ 1000 V. Full bill of materials — sheet «Специфікація», strings — sheet «Стрінги».</t>
  </si>
  <si>
    <t xml:space="preserve">Інвертор — на північній стіні надбудови сходів над нижнім дахом (+10,6), у тіні; кабель AC — у надбудову і стояком сходів до щита СЕС біля вступного щита АБК. Струм інвертора до 159,4 А при 400 В, вимикач 200 А, кабель 5×70 мм² мідь.</t>
  </si>
  <si>
    <t xml:space="preserve">Inverter on the north wall of the stair house above the lower roof (+10.6), in shade; AC cable into the stair house and down the stair riser to the PV board next to the building main board. Inverter current up to 159.4 A at 400 V, 200 A breaker, 5×70 mm² copper cable.</t>
  </si>
  <si>
    <t xml:space="preserve">Блискавкозахист — без зовнішніх щогл (як том 7 СЕС цеху): вирівнювання потенціалів кріплення провідником Cu 1×6 у лотках, по 2 приєднання на блок кріплення, Cu 1×16 до PE інвертора і до прутка на парапеті в місці переходу лотка; ПЗІП тип II в інверторі, тип II у щиті СЕС, ПЗІП RS485.</t>
  </si>
  <si>
    <t xml:space="preserve">Lightning protection without external masts (as volume 7 of the shop PV): bonding of the mounting with Cu 1×6 in trays, 2 connections per mounting block, Cu 1×16 to inverter PE and to the parapet rod where the tray crosses; type II SPD in the inverter and in the PV board, RS485 SPD.</t>
  </si>
  <si>
    <t xml:space="preserve">Робота без видачі в мережу: лічильник на вводі АБК і обмеження потужності інвертора (Zero Export); про генеруючу установку без видачі в мережу повідомляють ОСР за Додатком 11 до Кодексу систем розподілу.</t>
  </si>
  <si>
    <t xml:space="preserve">Operation without export: meter at the building input and inverter power limiting (Zero Export); the DSO is notified of a non-exporting generating unit per Annex 11 of the Distribution System Code.</t>
  </si>
  <si>
    <t xml:space="preserve">Не входить: обстеження будівлі й несучої здатності покрівлі (постанова КМУ № 406), проєктна документація, ремонт покрівлі; площадка з огорожею на арці (поз. 4.9) — за КП виробника драбини.</t>
  </si>
  <si>
    <t xml:space="preserve">Not included: building and roof load survey (CMU Resolution No. 406), design documentation, roof repair; the landing on the arch (item 4.9) — per ladder maker quote.</t>
  </si>
  <si>
    <t xml:space="preserve">Специфікація СЕС АБК, варіант «ДБН» / Bill of materials, admin building PV, DBN option</t>
  </si>
  <si>
    <t xml:space="preserve">Кількості — з 3D-моделі АБК і розрахунку стрінгів; ціни — у кошторисі за рядком. / Quantities from the 3D model and string design; prices in the estimate line shown.</t>
  </si>
  <si>
    <t xml:space="preserve">Рядок кошторису / Estimate line</t>
  </si>
  <si>
    <t xml:space="preserve">Як пораховано / Basis</t>
  </si>
  <si>
    <t xml:space="preserve">A. Фотомодулі</t>
  </si>
  <si>
    <t xml:space="preserve">PV modules</t>
  </si>
  <si>
    <t xml:space="preserve">A1</t>
  </si>
  <si>
    <t xml:space="preserve">Фотомодуль ZNSHINE ZXN8-BD132-730, 730 Вт, 2 384 × 1 303 × 33 мм, виводи 1,2–1,4 м</t>
  </si>
  <si>
    <t xml:space="preserve">PV module ZNSHINE ZXN8-BD132-730, 730 W, 2384 × 1303 × 33 mm, leads 1.2–1.4 m</t>
  </si>
  <si>
    <t xml:space="preserve">132 у стрінгах (арка 86, нижній дах 31, надбудова 6, стіни 9) + 2 % / 132 in strings + 2 %</t>
  </si>
  <si>
    <t xml:space="preserve">B. Кріплення на арці — «Лага 0°»: лаги на баласті, шпилькова тяга, крайні профілі</t>
  </si>
  <si>
    <t xml:space="preserve">Arch roof mounting — "Rail 0°": rails on ballast, rod ties, edge profiles</t>
  </si>
  <si>
    <t xml:space="preserve">B1</t>
  </si>
  <si>
    <t xml:space="preserve">Лага 41×41×1,5 перфорована оцинкована, 4 800 мм (бічні отвори Ø10,5 через 100, від торців 50)</t>
  </si>
  <si>
    <t xml:space="preserve">Rail 41×41×1.5 perforated galvanised, 4800 mm (side holes Ø10.5 at 100, 50 from ends)</t>
  </si>
  <si>
    <t xml:space="preserve">35 — 2 комірки на шматок; лаги 251,6 м / 2 cells per piece</t>
  </si>
  <si>
    <t xml:space="preserve">B2</t>
  </si>
  <si>
    <t xml:space="preserve">Лага 41×41×1,5 перфорована оцинкована, 2 400 мм</t>
  </si>
  <si>
    <t xml:space="preserve">Rail 41×41×1.5 perforated galvanised, 2400 mm</t>
  </si>
  <si>
    <t xml:space="preserve">35 — непарна комірка / odd cell</t>
  </si>
  <si>
    <t xml:space="preserve">B3</t>
  </si>
  <si>
    <t xml:space="preserve">Гільза П 45,5×35×2, 200 мм, з привареною муфтою M10×50 (ліва / права різьба)</t>
  </si>
  <si>
    <t xml:space="preserve">U-sleeve 45.5×35×2, 200 mm, with welded M10×50 coupling (LH / RH thread)</t>
  </si>
  <si>
    <t xml:space="preserve">60: на кожній лазі в лінії тяги, на стиках лаг / on every rail of a tie line, at rail splices</t>
  </si>
  <si>
    <t xml:space="preserve">B4</t>
  </si>
  <si>
    <t xml:space="preserve">Болт M10×60 + 2 шайби DIN 125 + гайка + трубка 14×1,75×38 (гільза до лаги)</t>
  </si>
  <si>
    <t xml:space="preserve">Bolt M10×60 + 2 washers DIN 125 + nut + tube 14×1.75×38 (sleeve to rail)</t>
  </si>
  <si>
    <t xml:space="preserve">2 на гільзу: 120 / 2 per sleeve</t>
  </si>
  <si>
    <t xml:space="preserve">B5</t>
  </si>
  <si>
    <t xml:space="preserve">Шпилька M10 права / ліва різьба, 1 299 мм</t>
  </si>
  <si>
    <t xml:space="preserve">Threaded rod M10 RH / LH, 1299 mm</t>
  </si>
  <si>
    <t xml:space="preserve">48 між модулями в колонці + 3 через прохід / between modules + across passage</t>
  </si>
  <si>
    <t xml:space="preserve">B6</t>
  </si>
  <si>
    <t xml:space="preserve">Гайка M10 права (контргайки шпильок)</t>
  </si>
  <si>
    <t xml:space="preserve">Nut M10 RH (rod lock nuts)</t>
  </si>
  <si>
    <t xml:space="preserve">2 на шпильку / 2 per rod</t>
  </si>
  <si>
    <t xml:space="preserve">B7</t>
  </si>
  <si>
    <t xml:space="preserve">Гайка M10 ліва</t>
  </si>
  <si>
    <t xml:space="preserve">Nut M10 LH</t>
  </si>
  <si>
    <t xml:space="preserve">1 на шпильку / 1 per rod</t>
  </si>
  <si>
    <t xml:space="preserve">B8</t>
  </si>
  <si>
    <t xml:space="preserve">Профіль 41×41×1,5 крайній, 1 263 мм</t>
  </si>
  <si>
    <t xml:space="preserve">Edge profile 41×41×1.5, 1263 mm</t>
  </si>
  <si>
    <t xml:space="preserve">76 на кінцях колонок + 6 через прохід / column ends + across passage</t>
  </si>
  <si>
    <t xml:space="preserve">B9</t>
  </si>
  <si>
    <t xml:space="preserve">Кутник 160/150, t = 8, оцинкований (правий і лівий порівну)</t>
  </si>
  <si>
    <t xml:space="preserve">Angle bracket 160/150, t = 8, galvanised (equal RH and LH)</t>
  </si>
  <si>
    <t xml:space="preserve">2 на профіль / 2 per profile</t>
  </si>
  <si>
    <t xml:space="preserve">B10</t>
  </si>
  <si>
    <t xml:space="preserve">Болт M10×70 + гайка + шайби (кутник до лаги)</t>
  </si>
  <si>
    <t xml:space="preserve">Bolt M10×70 + nut + washers (angle to rail)</t>
  </si>
  <si>
    <t xml:space="preserve">99: один на точку лаги / one per rail point</t>
  </si>
  <si>
    <t xml:space="preserve">B11</t>
  </si>
  <si>
    <t xml:space="preserve">Болт M10×60 + гайка + шайби (кутник до профілю)</t>
  </si>
  <si>
    <t xml:space="preserve">Bolt M10×60 + nut + washers (angle to profile)</t>
  </si>
  <si>
    <t xml:space="preserve">2 на кутник / 2 per angle</t>
  </si>
  <si>
    <t xml:space="preserve">B12</t>
  </si>
  <si>
    <t xml:space="preserve">Притиск середній під раму 33 мм, Al, з болтом M8×60 DIN 912 A2 і гайкою з пружиною</t>
  </si>
  <si>
    <t xml:space="preserve">Mid clamp for 33 mm frame, Al, with M8×60 DIN 912 A2 bolt and spring nut</t>
  </si>
  <si>
    <t xml:space="preserve">201: 3 на довгий бік на спільній лазі / 3 per long side on a shared rail</t>
  </si>
  <si>
    <t xml:space="preserve">B13</t>
  </si>
  <si>
    <t xml:space="preserve">Притиск Z33, Al, з болтом M8×25 DIN 912 A2 і гайкою з пружиною</t>
  </si>
  <si>
    <t xml:space="preserve">Z33 clamp, Al, with M8×25 DIN 912 A2 bolt and spring nut</t>
  </si>
  <si>
    <t xml:space="preserve">114 на крайніх лагах + 152 на крайніх профілях / on edge rails + on edge profiles</t>
  </si>
  <si>
    <t xml:space="preserve">B14</t>
  </si>
  <si>
    <t xml:space="preserve">Болт M8×20 + шайба DIN 9021 (лага / профіль до муфти блока)</t>
  </si>
  <si>
    <t xml:space="preserve">Bolt M8×20 + washer DIN 9021 (rail / profile to block coupling)</t>
  </si>
  <si>
    <t xml:space="preserve">1 на блок: 464 / 1 per block</t>
  </si>
  <si>
    <t xml:space="preserve">B15</t>
  </si>
  <si>
    <t xml:space="preserve">Анкер від сповзання до основи покрівлі, з герметизацією</t>
  </si>
  <si>
    <t xml:space="preserve">Anti-slide anchor to the roof deck, with sealing</t>
  </si>
  <si>
    <t xml:space="preserve">10: ланцюжок тяг лінії не переходить гребінь — анкер на верхній лазі (правило КМ даху цеху) / tie chain does not cross the ridge</t>
  </si>
  <si>
    <t xml:space="preserve">C. Кріплення 15° — «домік» і трикутники під одиночні модулі (нижній дах і надбудова)</t>
  </si>
  <si>
    <t xml:space="preserve">15° mounting — dual-tilt and triangles for single modules (lower roof and stair house)</t>
  </si>
  <si>
    <t xml:space="preserve">C1</t>
  </si>
  <si>
    <t xml:space="preserve">Лага «доміку» 41×41×1,5, 2 750 мм</t>
  </si>
  <si>
    <t xml:space="preserve">Dual-tilt rail 41×41×1.5, 2750 mm</t>
  </si>
  <si>
    <t xml:space="preserve">28 опор: 14 доміків × 2 / supports: domes × 2</t>
  </si>
  <si>
    <t xml:space="preserve">C2</t>
  </si>
  <si>
    <t xml:space="preserve">Балка 41×41×1,5, 1 450 мм (отвори шарніра і вершини — заводські)</t>
  </si>
  <si>
    <t xml:space="preserve">Beam 41×41×1.5, 1450 mm (hinge and apex holes factory)</t>
  </si>
  <si>
    <t xml:space="preserve">2 на опору / 2 per support</t>
  </si>
  <si>
    <t xml:space="preserve">C3</t>
  </si>
  <si>
    <t xml:space="preserve">Стійка 41×41×1,5, 365 мм</t>
  </si>
  <si>
    <t xml:space="preserve">Strut 41×41×1.5, 365 mm</t>
  </si>
  <si>
    <t xml:space="preserve">1 на опору / 1 per support</t>
  </si>
  <si>
    <t xml:space="preserve">C4</t>
  </si>
  <si>
    <t xml:space="preserve">П-кронштейн, нерж. 304, t = 3</t>
  </si>
  <si>
    <t xml:space="preserve">U-bracket, stainless 304, t = 3</t>
  </si>
  <si>
    <t xml:space="preserve">C5</t>
  </si>
  <si>
    <t xml:space="preserve">Болти M10 опори (2 × M10×100 шарніри, M10×140 вершина, M10×65 стійка, M10×60 кронштейн) + шайби + фланцеві гайки</t>
  </si>
  <si>
    <t xml:space="preserve">Support bolts M10 (2 × M10×100 hinges, M10×140 apex, M10×65 strut, M10×60 bracket) + washers + flange nuts</t>
  </si>
  <si>
    <t xml:space="preserve">5 на опору / 5 per support</t>
  </si>
  <si>
    <t xml:space="preserve">C6</t>
  </si>
  <si>
    <t xml:space="preserve">Діагональ 41×41×1,5, 1 100 мм + 2 болти M10×20 з фланцевими гайками</t>
  </si>
  <si>
    <t xml:space="preserve">Diagonal 41×41×1.5, 1100 mm + 2 bolts M10×20 with flange nuts</t>
  </si>
  <si>
    <t xml:space="preserve">між сусідніми доміками ряду / between adjacent domes in a row</t>
  </si>
  <si>
    <t xml:space="preserve">C7</t>
  </si>
  <si>
    <t xml:space="preserve">Притиск крайній під раму 33 мм з болтом M8 і гайкою з пружиною</t>
  </si>
  <si>
    <t xml:space="preserve">End clamp for 33 mm frame with M8 bolt and spring nut</t>
  </si>
  <si>
    <t xml:space="preserve">4 на панель: 112 / 4 per panel</t>
  </si>
  <si>
    <t xml:space="preserve">C8</t>
  </si>
  <si>
    <t xml:space="preserve">Болт M8×20 + шайба DIN 9021 (лага до муфти блока)</t>
  </si>
  <si>
    <t xml:space="preserve">Bolt M8×20 + washer DIN 9021 (rail to block coupling)</t>
  </si>
  <si>
    <t xml:space="preserve">4 на опору / 4 per support</t>
  </si>
  <si>
    <t xml:space="preserve">C9</t>
  </si>
  <si>
    <t xml:space="preserve">Лага трикутника 15° 41×41×1,5, 1 550 мм</t>
  </si>
  <si>
    <t xml:space="preserve">15° triangle rail 41×41×1.5, 1550 mm</t>
  </si>
  <si>
    <t xml:space="preserve">18 трикутників: 9 модулів × 2 / triangles: modules × 2</t>
  </si>
  <si>
    <t xml:space="preserve">C10</t>
  </si>
  <si>
    <t xml:space="preserve">Балка 41×41×1,5, 1 419 мм</t>
  </si>
  <si>
    <t xml:space="preserve">Beam 41×41×1.5, 1419 mm</t>
  </si>
  <si>
    <t xml:space="preserve">1 на трикутник / 1 per triangle</t>
  </si>
  <si>
    <t xml:space="preserve">C11</t>
  </si>
  <si>
    <t xml:space="preserve">Стійка 41×41×1,5, 448 мм (13-й отвір від шарніра)</t>
  </si>
  <si>
    <t xml:space="preserve">Strut 41×41×1.5, 448 mm (13th hole from hinge)</t>
  </si>
  <si>
    <t xml:space="preserve">C12</t>
  </si>
  <si>
    <t xml:space="preserve">П-кронштейн під 15°, нерж. 304 (зміщений отвір під болт балки)</t>
  </si>
  <si>
    <t xml:space="preserve">U-bracket for 15°, stainless 304 (shifted beam bolt hole)</t>
  </si>
  <si>
    <t xml:space="preserve">C13</t>
  </si>
  <si>
    <t xml:space="preserve">Болти M10×60 (3) і M10×20 (3) трикутника + шайби + фланцеві гайки</t>
  </si>
  <si>
    <t xml:space="preserve">Triangle bolts M10×60 (3) and M10×20 (3) + washers + flange nuts</t>
  </si>
  <si>
    <t xml:space="preserve">6 на трикутник / 6 per triangle</t>
  </si>
  <si>
    <t xml:space="preserve">C14</t>
  </si>
  <si>
    <t xml:space="preserve">між трикутниками сусідніх модулів / between triangles of adjacent modules</t>
  </si>
  <si>
    <t xml:space="preserve">C15</t>
  </si>
  <si>
    <t xml:space="preserve">4 на модуль: 36 / 4 per module</t>
  </si>
  <si>
    <t xml:space="preserve">C16</t>
  </si>
  <si>
    <t xml:space="preserve">2 на трикутник / 2 per triangle</t>
  </si>
  <si>
    <t xml:space="preserve">D. Кріплення на південних стінах — фасадні вузли</t>
  </si>
  <si>
    <t xml:space="preserve">South wall mounting — facade nodes</t>
  </si>
  <si>
    <t xml:space="preserve">D1</t>
  </si>
  <si>
    <t xml:space="preserve">Рейка 41×41×2,5 оцинкована на стіні, у розмір</t>
  </si>
  <si>
    <t xml:space="preserve">Wall rail 41×41×2.5 galvanised, cut to size</t>
  </si>
  <si>
    <t xml:space="preserve">8 рейок, 24,5 м: на 540 мм від торців модуля / 8 rails at 540 mm from module ends</t>
  </si>
  <si>
    <t xml:space="preserve">D2</t>
  </si>
  <si>
    <t xml:space="preserve">Кронштейн L 60×60×5 з пазом, цинк + анкер M10 + болт M10×35 з гайкою і 2 шайбами</t>
  </si>
  <si>
    <t xml:space="preserve">Bracket L 60×60×5 slotted, galvanised + M10 anchor + M10×35 bolt with nut and 2 washers</t>
  </si>
  <si>
    <t xml:space="preserve">28: через ≈1,2 м на спільній рейці, 2 на рейку альбомного / every ≈1.2 m</t>
  </si>
  <si>
    <t xml:space="preserve">D3</t>
  </si>
  <si>
    <t xml:space="preserve">Притиск крайній 80 мм, Al 6005-T6, під раму 33 + болт M8 і гайка з пружиною</t>
  </si>
  <si>
    <t xml:space="preserve">End clamp 80 mm, Al 6005-T6, for 33 mm frame + M8 bolt and spring nut</t>
  </si>
  <si>
    <t xml:space="preserve">16</t>
  </si>
  <si>
    <t xml:space="preserve">D4</t>
  </si>
  <si>
    <t xml:space="preserve">Притиск середній 80 мм, Al 6005-T6 + болт M8 і гайка з пружиною</t>
  </si>
  <si>
    <t xml:space="preserve">Mid clamp 80 mm, Al 6005-T6 + M8 bolt and spring nut</t>
  </si>
  <si>
    <t xml:space="preserve">10: між модулями групи, на кожній рейці / between modules, on each rail</t>
  </si>
  <si>
    <t xml:space="preserve">D5</t>
  </si>
  <si>
    <t xml:space="preserve">Пластина заземлювальна під притиск</t>
  </si>
  <si>
    <t xml:space="preserve">Earthing plate under clamp</t>
  </si>
  <si>
    <t xml:space="preserve">1 на модуль / 1 per module</t>
  </si>
  <si>
    <t xml:space="preserve">D6</t>
  </si>
  <si>
    <t xml:space="preserve">Трос безпеки Ø3 AISI 316 у ПВХ ≈0,6 м з коушем, 2 втулками, гайкою-вушком M8 і болтом</t>
  </si>
  <si>
    <t xml:space="preserve">Safety rope Ø3 AISI 316 in PVC ≈0.6 m with thimble, 2 ferrules, M8 eye nut and bolt</t>
  </si>
  <si>
    <t xml:space="preserve">1 на модуль, крізь заводський отвір рами / 1 per module through factory frame hole</t>
  </si>
  <si>
    <t xml:space="preserve">E. Кабелі DC і з'єднання стрінгів</t>
  </si>
  <si>
    <t xml:space="preserve">DC cabling and string connections</t>
  </si>
  <si>
    <t xml:space="preserve">E1</t>
  </si>
  <si>
    <t xml:space="preserve">Кабель сонячний H1Z2Z2-K 1×6 мм², 1,5 кВ DC, червоний («+»)</t>
  </si>
  <si>
    <t xml:space="preserve">Solar cable H1Z2Z2-K 1×6 mm², 1.5 kV DC, red (+)</t>
  </si>
  <si>
    <t xml:space="preserve">траси «+» 387,7 м + 10 % / routes + 10 %</t>
  </si>
  <si>
    <t xml:space="preserve">E2</t>
  </si>
  <si>
    <t xml:space="preserve">Кабель сонячний H1Z2Z2-K 1×6 мм², 1,5 кВ DC, чорний («−», перемички)</t>
  </si>
  <si>
    <t xml:space="preserve">Solar cable H1Z2Z2-K 1×6 mm², 1.5 kV DC, black (−, jumpers)</t>
  </si>
  <si>
    <t xml:space="preserve">«−» 285,3 м + перемички 300,2 м (38 шт.) + 10 % / minus + jumpers + 10 %</t>
  </si>
  <si>
    <t xml:space="preserve">E3</t>
  </si>
  <si>
    <t xml:space="preserve">Роз'єм MC4 (пара штекер + гніздо) під 6 мм²</t>
  </si>
  <si>
    <t xml:space="preserve">MC4 connector pair (male + female) for 6 mm²</t>
  </si>
  <si>
    <t xml:space="preserve">пар / pairs</t>
  </si>
  <si>
    <t xml:space="preserve">2 на стрінг + 2 на перемичку, + 5 %; на інверторі — у комплекті / 2 per string + 2 per jumper; inverter side included</t>
  </si>
  <si>
    <t xml:space="preserve">E4</t>
  </si>
  <si>
    <t xml:space="preserve">Металорукав сталевий у ПВХ-оболонці Ø25, стійкий до УФ — виходи з поля і перемички поза лотками</t>
  </si>
  <si>
    <t xml:space="preserve">PVC-coated steel conduit Ø25, UV resistant — field exits and jumpers outside trays</t>
  </si>
  <si>
    <t xml:space="preserve">36,0 м + 10 %</t>
  </si>
  <si>
    <t xml:space="preserve">E5</t>
  </si>
  <si>
    <t xml:space="preserve">Втулка ізолююча на кінець металорукава Ø25</t>
  </si>
  <si>
    <t xml:space="preserve">Insulating end bush for conduit Ø25</t>
  </si>
  <si>
    <t xml:space="preserve">2 на вихід стрінга і на модуль стіни / 2 per string exit and wall module</t>
  </si>
  <si>
    <t xml:space="preserve">E6</t>
  </si>
  <si>
    <t xml:space="preserve">Стяжка кабельна 300×4,8 PA66, стійка до УФ, уп. 100</t>
  </si>
  <si>
    <t xml:space="preserve">Cable tie 300×4.8 PA66 UV resistant, pack of 100</t>
  </si>
  <si>
    <t xml:space="preserve">уп / pack</t>
  </si>
  <si>
    <t xml:space="preserve">кабель під модулями і перемички через 0,5 м: 811 шт / every 0.5 m</t>
  </si>
  <si>
    <t xml:space="preserve">E7</t>
  </si>
  <si>
    <t xml:space="preserve">Бирка маркувальна УФ-стійка з друком</t>
  </si>
  <si>
    <t xml:space="preserve">UV-resistant printed cable label</t>
  </si>
  <si>
    <t xml:space="preserve">4 на стрінг, 4 на AC, 2 на RS485 / 4 per string, 4 AC, 2 RS485</t>
  </si>
  <si>
    <t xml:space="preserve">F. Лотки і траси</t>
  </si>
  <si>
    <t xml:space="preserve">Cable trays and routes</t>
  </si>
  <si>
    <t xml:space="preserve">F1</t>
  </si>
  <si>
    <t xml:space="preserve">Лоток перфорований 100×50 з кришкою, оцинкований, секція 3 м</t>
  </si>
  <si>
    <t xml:space="preserve">Perforated cable tray 100×50 with lid, galvanised, 3 m section</t>
  </si>
  <si>
    <t xml:space="preserve">траси 106,3 м + 10 %, цілими секціями / routes + 10 %, full sections</t>
  </si>
  <si>
    <t xml:space="preserve">F2</t>
  </si>
  <si>
    <t xml:space="preserve">Кут горизонтальний 90° 100×50 з кришкою</t>
  </si>
  <si>
    <t xml:space="preserve">Horizontal 90° bend 100×50 with lid</t>
  </si>
  <si>
    <t xml:space="preserve">3D-траси / 3D routes</t>
  </si>
  <si>
    <t xml:space="preserve">F3</t>
  </si>
  <si>
    <t xml:space="preserve">Кут вертикальний 90° 100×50 з кришкою (зовнішній / внутрішній)</t>
  </si>
  <si>
    <t xml:space="preserve">Vertical 90° bend 100×50 with lid (outside / inside)</t>
  </si>
  <si>
    <t xml:space="preserve">F4</t>
  </si>
  <si>
    <t xml:space="preserve">Трійник 100×50 з кришкою</t>
  </si>
  <si>
    <t xml:space="preserve">Tee 100×50 with lid</t>
  </si>
  <si>
    <t xml:space="preserve">стики трас / route junctions</t>
  </si>
  <si>
    <t xml:space="preserve">F5</t>
  </si>
  <si>
    <t xml:space="preserve">Заглушка торцева 100×50</t>
  </si>
  <si>
    <t xml:space="preserve">End cap 100×50</t>
  </si>
  <si>
    <t xml:space="preserve">кінці трас / route ends</t>
  </si>
  <si>
    <t xml:space="preserve">F6</t>
  </si>
  <si>
    <t xml:space="preserve">З'єднувач лотків з перемичкою заземлення</t>
  </si>
  <si>
    <t xml:space="preserve">Tray coupler with earth bridge</t>
  </si>
  <si>
    <t xml:space="preserve">на стик секцій / per section joint</t>
  </si>
  <si>
    <t xml:space="preserve">F7</t>
  </si>
  <si>
    <t xml:space="preserve">Фіксатор кришки від вітру</t>
  </si>
  <si>
    <t xml:space="preserve">Lid wind clip</t>
  </si>
  <si>
    <t xml:space="preserve">2 на секцію, 1 на фасонний / 2 per section, 1 per fitting</t>
  </si>
  <si>
    <t xml:space="preserve">F8</t>
  </si>
  <si>
    <t xml:space="preserve">Траверса опори лотка — профіль 41×41×2,5, L = 0,2 м</t>
  </si>
  <si>
    <t xml:space="preserve">Tray support cross-bar 41×41×2.5, L = 0.2 m</t>
  </si>
  <si>
    <t xml:space="preserve">опори на даху через 1,5 м: 96,6 м / roof supports every 1.5 m</t>
  </si>
  <si>
    <t xml:space="preserve">F9</t>
  </si>
  <si>
    <t xml:space="preserve">Болт M8×20 + шайба DIN 9021 (траверса → муфта блока)</t>
  </si>
  <si>
    <t xml:space="preserve">Bolt M8×20 + washer DIN 9021 (cross-bar to block coupling)</t>
  </si>
  <si>
    <t xml:space="preserve">F10</t>
  </si>
  <si>
    <t xml:space="preserve">Болт M8×20 + гайка з пружиною + шайба (лоток → траверса)</t>
  </si>
  <si>
    <t xml:space="preserve">Bolt M8×20 + spring nut + washer (tray to cross-bar)</t>
  </si>
  <si>
    <t xml:space="preserve">F11</t>
  </si>
  <si>
    <t xml:space="preserve">Кронштейн лотка на стіну з анкером, через 1,0 м</t>
  </si>
  <si>
    <t xml:space="preserve">Wall bracket for tray with anchor, every 1.0 m</t>
  </si>
  <si>
    <t xml:space="preserve">спуски по стінах 9,8 м / wall runs</t>
  </si>
  <si>
    <t xml:space="preserve">G. Інвертор, AC, облік, обмеження видачі</t>
  </si>
  <si>
    <t xml:space="preserve">Inverter, AC, metering, export limit</t>
  </si>
  <si>
    <t xml:space="preserve">G1</t>
  </si>
  <si>
    <t xml:space="preserve">Інвертор мережевий Deye SUN-100K-G03: 100 кВт, 3 фази 400 В, 6 MPPT, DC до 1 000 В, IP65; DC-роз'єднувач, ПЗІП тип II на DC і AC; кронштейн і роз'єми DC у комплекті</t>
  </si>
  <si>
    <t xml:space="preserve">Grid inverter Deye SUN-100K-G03: 100 kW, 3-phase 400 V, 6 MPPT, DC up to 1000 V, IP65; DC switch, type II SPD on DC and AC; bracket and DC connectors included</t>
  </si>
  <si>
    <t xml:space="preserve">паспорт Deye / Deye datasheet</t>
  </si>
  <si>
    <t xml:space="preserve">G2</t>
  </si>
  <si>
    <t xml:space="preserve">по стіні і стояку сходів, + 10 % / along wall and stair riser, + 10 %</t>
  </si>
  <si>
    <t xml:space="preserve">G3</t>
  </si>
  <si>
    <t xml:space="preserve">Наконечник мідний луджений ТМЛ 70</t>
  </si>
  <si>
    <t xml:space="preserve">Tinned copper lug 70 mm²</t>
  </si>
  <si>
    <t xml:space="preserve">5 жил × 2 кінці / 5 cores × 2 ends</t>
  </si>
  <si>
    <t xml:space="preserve">G4</t>
  </si>
  <si>
    <t xml:space="preserve">Автоматичний вимикач ABB FormulA A2B 250 TMF 200, 3P, 200 А</t>
  </si>
  <si>
    <t xml:space="preserve">Moulded-case breaker ABB FormulA A2B 250 TMF 200, 3P, 200 A</t>
  </si>
  <si>
    <t xml:space="preserve">струм інвертора до 159,4 А / inverter current up to 159.4 A</t>
  </si>
  <si>
    <t xml:space="preserve">G5</t>
  </si>
  <si>
    <t xml:space="preserve">Корпус щита IEK ЩМП-4.6.2-0 74 У2, 400 × 600 × 250, IP54 — щит СЕС</t>
  </si>
  <si>
    <t xml:space="preserve">Enclosure IEK ShchMP-4.6.2-0, 400 × 600 × 250, IP54 — PV board</t>
  </si>
  <si>
    <t xml:space="preserve">G6</t>
  </si>
  <si>
    <t xml:space="preserve">ПЗІП AC тип 2, 4P, 280 В (Eaton SPCT2-280/4) — у щиті СЕС</t>
  </si>
  <si>
    <t xml:space="preserve">AC surge protector type 2, 4P, 280 V (Eaton SPCT2-280/4) — in PV board</t>
  </si>
  <si>
    <t xml:space="preserve">вхід AC у будівлю / AC entry into the building</t>
  </si>
  <si>
    <t xml:space="preserve">G7</t>
  </si>
  <si>
    <t xml:space="preserve">Лічильник CHINT DTSU666 з трансформаторами струму 250 А — на вводі АБК, обмеження видачі в мережу (Zero Export)</t>
  </si>
  <si>
    <t xml:space="preserve">Meter CHINT DTSU666 with 250 A current transformers — at the building input, export limiting (Zero Export)</t>
  </si>
  <si>
    <t xml:space="preserve">G8</t>
  </si>
  <si>
    <t xml:space="preserve">Кабель RS485 2×2×0,75 мм² в екрані — лічильник → інвертор</t>
  </si>
  <si>
    <t xml:space="preserve">RS485 cable 2×2×0.75 mm² screened — meter to inverter</t>
  </si>
  <si>
    <t xml:space="preserve">уздовж кабелю AC / along AC cable</t>
  </si>
  <si>
    <t xml:space="preserve">G9</t>
  </si>
  <si>
    <t xml:space="preserve">Прохід кабелів крізь стіну надбудови з ущільненням</t>
  </si>
  <si>
    <t xml:space="preserve">Cable wall pass-through into the stair house with sealing</t>
  </si>
  <si>
    <t xml:space="preserve">H. Блискавкозахист і вирівнювання потенціалів</t>
  </si>
  <si>
    <t xml:space="preserve">Lightning protection and equipotential bonding</t>
  </si>
  <si>
    <t xml:space="preserve">H1</t>
  </si>
  <si>
    <t xml:space="preserve">Провід Cu 1×6 мм² жовто-зелений — вирівнювання потенціалів у лотках і відгалуження до кріплення</t>
  </si>
  <si>
    <t xml:space="preserve">Cu wire 1×6 mm² green-yellow — equipotential bonding in trays and branches to mounting</t>
  </si>
  <si>
    <t xml:space="preserve">лотки 106,3 м + 10 % і 28 відгалужень / trays + 10 % and 28 branches</t>
  </si>
  <si>
    <t xml:space="preserve">H2</t>
  </si>
  <si>
    <t xml:space="preserve">Провід Cu 1×16 мм² жовто-зелений — до PE інвертора і до наявного прутка на парапеті</t>
  </si>
  <si>
    <t xml:space="preserve">Cu wire 1×16 mm² green-yellow — to inverter PE and to the existing parapet rod</t>
  </si>
  <si>
    <t xml:space="preserve">H3</t>
  </si>
  <si>
    <t xml:space="preserve">Затискач до профілю і відгалужувальний EN 62561-1</t>
  </si>
  <si>
    <t xml:space="preserve">Profile and branch clamp EN 62561-1</t>
  </si>
  <si>
    <t xml:space="preserve">по 2 на 14 блоків кріплення + 4 / 2 per mounting block + 4</t>
  </si>
  <si>
    <t xml:space="preserve">H4</t>
  </si>
  <si>
    <t xml:space="preserve">Шайба контактна зубчаста під болти гільз</t>
  </si>
  <si>
    <t xml:space="preserve">Serrated contact washer under sleeve bolts</t>
  </si>
  <si>
    <t xml:space="preserve">як болти M10×60 гільз / as sleeve bolts M10×60</t>
  </si>
  <si>
    <t xml:space="preserve">H5</t>
  </si>
  <si>
    <t xml:space="preserve">Наконечник 16 мм² і контрольне з'єднання</t>
  </si>
  <si>
    <t xml:space="preserve">Lug 16 mm² and test joint</t>
  </si>
  <si>
    <t xml:space="preserve">H6</t>
  </si>
  <si>
    <t xml:space="preserve">ПЗІП лінії RS485</t>
  </si>
  <si>
    <t xml:space="preserve">RS485 data line surge protector</t>
  </si>
  <si>
    <t xml:space="preserve">I. Безпека покрівлі (ДБН)</t>
  </si>
  <si>
    <t xml:space="preserve">Roof safety (DBN)</t>
  </si>
  <si>
    <t xml:space="preserve">I1</t>
  </si>
  <si>
    <t xml:space="preserve">Драбина П1 на арку з поручнями над парапетом (перепад 4,8 м + 1,0 м)</t>
  </si>
  <si>
    <t xml:space="preserve">Fixed fire ladder P1 to the arch roof with handrails above parapet (4.8 m + 1.0 m)</t>
  </si>
  <si>
    <t xml:space="preserve">ДБН В.1.1-7:2016 п. 8.8–8.10</t>
  </si>
  <si>
    <t xml:space="preserve">I2</t>
  </si>
  <si>
    <t xml:space="preserve">ДБН В.1.1-7:2016 табл. 5</t>
  </si>
  <si>
    <t xml:space="preserve">I3</t>
  </si>
  <si>
    <t xml:space="preserve">Драбини П1 на надбудову сходів (2 шт.: 2,25 + 1,0 м і 1,35 + 1,0 м)</t>
  </si>
  <si>
    <t xml:space="preserve">Fixed ladders P1 to the stair house (2 pcs: 2.25 + 1.0 m and 1.35 + 1.0 m)</t>
  </si>
  <si>
    <t xml:space="preserve">ДБН В.1.1-7:2016 п. 8.8</t>
  </si>
  <si>
    <t xml:space="preserve">I4</t>
  </si>
  <si>
    <t xml:space="preserve">Огородження покрівлі 0,6 м, металеве: захід і торці арки, парапети надбудови</t>
  </si>
  <si>
    <t xml:space="preserve">Roof guardrail 0.6 m, steel: arch west side and ends, stair house parapets</t>
  </si>
  <si>
    <t xml:space="preserve">ДБН В.1.1-7:2016 п. 8.12; ДБН В.2.6-220:2017 п. 6.1.2</t>
  </si>
  <si>
    <t xml:space="preserve">I5</t>
  </si>
  <si>
    <t xml:space="preserve">ДБН В.2.6-220:2017 п. 7.1.3</t>
  </si>
  <si>
    <t xml:space="preserve">J. Баласт</t>
  </si>
  <si>
    <t xml:space="preserve">Ballast</t>
  </si>
  <si>
    <t xml:space="preserve">J1</t>
  </si>
  <si>
    <t xml:space="preserve">Баластний блок 300×300×60, 13 кг, з муфтою M8×30 і матом 320×320×3</t>
  </si>
  <si>
    <t xml:space="preserve">Ballast block 300×300×60, 13 kg, with M8×30 coupling and 320×320×3 mat</t>
  </si>
  <si>
    <t xml:space="preserve">арка 300, «домік» 112, трикутники 15° 36, опори лотків 65, + 1 % / arch, dual-tilt, 15° triangles, tray supports, + 1 %</t>
  </si>
  <si>
    <t xml:space="preserve">J2</t>
  </si>
  <si>
    <t xml:space="preserve">Баластний блок 300×300×60 з муфтою, без мата, верх знято — під крайні профілі арки</t>
  </si>
  <si>
    <t xml:space="preserve">Ballast block 300×300×60 with coupling, no mat, top trimmed — under arch edge profiles</t>
  </si>
  <si>
    <t xml:space="preserve">2 на крайній профіль: 164 + 1 % / 2 per edge profile + 1 %</t>
  </si>
  <si>
    <t xml:space="preserve">Стрінги і MPPT інвертора Deye SUN-100K-G03 / Strings and MPPT of the Deye SUN-100K-G03 inverter</t>
  </si>
  <si>
    <t xml:space="preserve">Модуль: Voc 49,5 В, Vmp 41,7 В, Imp 17,51 А, Isc 18,51 А, Voc −0,25 %/K. Інвертор: DC до 1 000 В, старт 250 В, MPPT 200–850 В, 40 А (Isc 60 А) на MPPT. / Module and inverter limits.</t>
  </si>
  <si>
    <t xml:space="preserve">Voc модуля, В / Module Voc, V</t>
  </si>
  <si>
    <t xml:space="preserve">Коеф. Voc, %/K / Voc coefficient, %/K</t>
  </si>
  <si>
    <t xml:space="preserve">Мінімальна температура модуля, °C / Min. module temp., °C</t>
  </si>
  <si>
    <t xml:space="preserve">Vmp при 70 °C, В / Vmp at 70 °C, V</t>
  </si>
  <si>
    <t xml:space="preserve">Vmp при −10 °C, В / Vmp at −10 °C, V</t>
  </si>
  <si>
    <t xml:space="preserve">Imp, А</t>
  </si>
  <si>
    <t xml:space="preserve">Isc, А</t>
  </si>
  <si>
    <t xml:space="preserve">Інвертор: макс. DC, В / Inverter max DC, V</t>
  </si>
  <si>
    <t xml:space="preserve">Інвертор: MPPT від, В / MPPT min, V</t>
  </si>
  <si>
    <t xml:space="preserve">Інвертор: MPPT до, В / MPPT max, V</t>
  </si>
  <si>
    <t xml:space="preserve">Інвертор: старт, В / Start-up, V</t>
  </si>
  <si>
    <t xml:space="preserve">Інвертор: струм на MPPT, А / Current per MPPT, A</t>
  </si>
  <si>
    <t xml:space="preserve">Інвертор: Isc на MPPT, А / Isc per MPPT, A</t>
  </si>
  <si>
    <t xml:space="preserve">Перевірка / Check</t>
  </si>
  <si>
    <t xml:space="preserve">Модулів у стрінгу / Modules</t>
  </si>
  <si>
    <t xml:space="preserve">Voc −30 °C, В</t>
  </si>
  <si>
    <t xml:space="preserve">≤ 1 000 В</t>
  </si>
  <si>
    <t xml:space="preserve">Vmp 70 °C, В</t>
  </si>
  <si>
    <t xml:space="preserve">≥ 250 В</t>
  </si>
  <si>
    <t xml:space="preserve">Vmp −10 °C, В</t>
  </si>
  <si>
    <t xml:space="preserve">≤ 850 В</t>
  </si>
  <si>
    <t xml:space="preserve">Imp на MPPT, А</t>
  </si>
  <si>
    <t xml:space="preserve">≤ 40 А</t>
  </si>
  <si>
    <t xml:space="preserve">Isc на MPPT, А</t>
  </si>
  <si>
    <t xml:space="preserve">≤ 60 А</t>
  </si>
  <si>
    <t xml:space="preserve">«ДБН» / DBN</t>
  </si>
  <si>
    <t xml:space="preserve">Стрінг / String</t>
  </si>
  <si>
    <t xml:space="preserve">MPPT</t>
  </si>
  <si>
    <t xml:space="preserve">Модулів / Modules</t>
  </si>
  <si>
    <t xml:space="preserve">Де / Where</t>
  </si>
  <si>
    <t xml:space="preserve">Грані / Faces</t>
  </si>
  <si>
    <t xml:space="preserve">Нахил, ° / Tilt</t>
  </si>
  <si>
    <t xml:space="preserve">Невідповідність, % / Mismatch</t>
  </si>
  <si>
    <t xml:space="preserve">DC «+», м</t>
  </si>
  <si>
    <t xml:space="preserve">DC «−», м</t>
  </si>
  <si>
    <t xml:space="preserve">Перемички, м / Jumpers</t>
  </si>
  <si>
    <t xml:space="preserve">Не працює, модуле-год / Bypassed, module-h</t>
  </si>
  <si>
    <t xml:space="preserve">S4</t>
  </si>
  <si>
    <t xml:space="preserve">арка / arch</t>
  </si>
  <si>
    <t xml:space="preserve">схід / E</t>
  </si>
  <si>
    <t xml:space="preserve">S9</t>
  </si>
  <si>
    <t xml:space="preserve">S5</t>
  </si>
  <si>
    <t xml:space="preserve">S10</t>
  </si>
  <si>
    <t xml:space="preserve">арка / arch + нижній дах / lower roof + надбудова / stair house</t>
  </si>
  <si>
    <t xml:space="preserve">S3</t>
  </si>
  <si>
    <t xml:space="preserve">захід / W</t>
  </si>
  <si>
    <t xml:space="preserve">S8</t>
  </si>
  <si>
    <t xml:space="preserve">S1</t>
  </si>
  <si>
    <t xml:space="preserve">S2</t>
  </si>
  <si>
    <t xml:space="preserve">S6</t>
  </si>
  <si>
    <t xml:space="preserve">нижній дах / lower roof + надбудова / stair house</t>
  </si>
  <si>
    <t xml:space="preserve">S7</t>
  </si>
  <si>
    <t xml:space="preserve">S11</t>
  </si>
  <si>
    <t xml:space="preserve">нижній дах / lower roof + надбудова / stair house + стіни / walls</t>
  </si>
  <si>
    <t xml:space="preserve">схід / E, південь / S, захід / W</t>
  </si>
  <si>
    <t xml:space="preserve">Разом / Total</t>
  </si>
  <si>
    <t xml:space="preserve">Не працює — модуль обходиться байпас-діодом, бо його струм нижчий за робочий струм стрінга (часткова тінь або інша орієнтація), за ясного неба, години на рік; стрінг працює, поки в роботі ≥ 6 модулів (MPPT від 200 В). / Bypassed — the module current is below the string operating current (partial shade or different orientation), clear sky, hours per year.</t>
  </si>
  <si>
    <t xml:space="preserve">Параметри кошторису СЕС АБК, варіант «ДБН» / Estimate parameters, admin building PV, DBN option</t>
  </si>
  <si>
    <t xml:space="preserve">Синій — вихідні дані, чорний — формули. $ без ПДВ. / Blue — inputs, black — formulas. USD excl. VAT.</t>
  </si>
  <si>
    <t xml:space="preserve">Параметр / Parameter</t>
  </si>
  <si>
    <t xml:space="preserve">Значення / Value</t>
  </si>
  <si>
    <t xml:space="preserve">Джерело / Source</t>
  </si>
  <si>
    <t xml:space="preserve">Модулів на арці / Modules on the arch roof</t>
  </si>
  <si>
    <t xml:space="preserve">шт</t>
  </si>
  <si>
    <t xml:space="preserve">3D-модель АБК, варіант «ДБН» / 3D model</t>
  </si>
  <si>
    <t xml:space="preserve">Модулів на нижньому даху, «домік» 15° / Modules on the lower roof, dual-tilt 15°</t>
  </si>
  <si>
    <t xml:space="preserve">33 місця, 2 поза стрінгами / 33 places, 2 outside strings</t>
  </si>
  <si>
    <t xml:space="preserve">Модулів на надбудові сходів, «домік» 15° / Modules on the stair house, dual-tilt 15°</t>
  </si>
  <si>
    <t xml:space="preserve">3D-модель АБК / 3D model</t>
  </si>
  <si>
    <t xml:space="preserve">Модулів на південних стінах / Modules on south walls</t>
  </si>
  <si>
    <t xml:space="preserve">Модулів у стрінгах / Modules in strings</t>
  </si>
  <si>
    <t xml:space="preserve">Модулів до поставки (+2 %) / Modules to supply (+2 %)</t>
  </si>
  <si>
    <t xml:space="preserve">Потужність СЕС, DC / PV capacity, DC</t>
  </si>
  <si>
    <t xml:space="preserve">730 Вт × модулів / 730 W × modules</t>
  </si>
  <si>
    <t xml:space="preserve">Стрінгів / Strings</t>
  </si>
  <si>
    <t xml:space="preserve">по 2 на MPPT, 6 MPPT / 2 per MPPT, 6 MPPT</t>
  </si>
  <si>
    <t xml:space="preserve">Модулів у стрінгу / Modules per string</t>
  </si>
  <si>
    <t xml:space="preserve">Voc при −30 °C ≤ 1 000 В / Voc at −30 °C ≤ 1000 V</t>
  </si>
  <si>
    <t xml:space="preserve">Генерація модулів за рік (DC) / Annual module yield (DC)</t>
  </si>
  <si>
    <t xml:space="preserve">повна модель K1: Meteonorm 8.1, тіні DSM, байпас-діоди / full K1 model</t>
  </si>
  <si>
    <t xml:space="preserve">Блоків під опори лотків / Blocks under tray supports</t>
  </si>
  <si>
    <t xml:space="preserve">лотки на даху 96.6 м, опора через 1,5 м / roof trays, support every 1.5 m</t>
  </si>
  <si>
    <t xml:space="preserve">Баластних блоків до замовлення (+1 %) / Ballast blocks to order (+1 %)</t>
  </si>
  <si>
    <t xml:space="preserve">кріплення модулів — 3D-модель (кожен блок), опори лотків / module mounting — 3D model (every block), tray supports</t>
  </si>
  <si>
    <t xml:space="preserve">Кабель AC інвертор → щит СЕС / AC cable inverter → PV board</t>
  </si>
  <si>
    <t xml:space="preserve">м</t>
  </si>
  <si>
    <t xml:space="preserve">Кабель RS485 лічильник → інвертор / RS485 cable meter → inverter</t>
  </si>
  <si>
    <t xml:space="preserve">Драбина П1 на арку: 4,8 + 1,0 м / Fixed ladder P1 to arch: 4.8 + 1.0 m</t>
  </si>
  <si>
    <t xml:space="preserve">Площадка з огорожею 0,6 м на арці / Landing with 0.6 m guard on arch</t>
  </si>
  <si>
    <t xml:space="preserve">Драбини П1 на надбудову / Fixed ladders P1 to stair house</t>
  </si>
  <si>
    <t xml:space="preserve">2,25 + 1,0 і 1,35 + 1,0 м; ДБН В.1.1-7:2016 п. 8.8</t>
  </si>
  <si>
    <t xml:space="preserve">Огородження покрівлі 0,6 м / Roof guardrail 0.6 m</t>
  </si>
  <si>
    <t xml:space="preserve">Ходові доріжки 0,8 м / Walkways 0.8 m</t>
  </si>
  <si>
    <t xml:space="preserve">м²</t>
  </si>
  <si>
    <t xml:space="preserve">Монтаж драбин, площадки, огородження і доріжок / Installation of ladders, landing, guardrail, walkways</t>
  </si>
  <si>
    <t xml:space="preserve">драбини 2 × 16, огородження 64, доріжки 16 / ladders 2 × 16, guardrail 64, walkways 16</t>
  </si>
  <si>
    <t xml:space="preserve">Анкерів від сповзання на арці / Anti-slide anchors on the arch</t>
  </si>
  <si>
    <t xml:space="preserve">ланцюжок тяг лінії не переходить гребінь — анкер на верхній лазі (правило КМ даху цеху) / tie chain not crossing the ridge</t>
  </si>
  <si>
    <t xml:space="preserve">Ставки і ціни / Rates and prices</t>
  </si>
  <si>
    <t xml:space="preserve">Потужність модуля / Module power</t>
  </si>
  <si>
    <t xml:space="preserve">Вт / W</t>
  </si>
  <si>
    <t xml:space="preserve">паспорт ZNSHINE / datasheet</t>
  </si>
  <si>
    <t xml:space="preserve">Курс / Exchange rate</t>
  </si>
  <si>
    <t xml:space="preserve">грн/$</t>
  </si>
  <si>
    <t xml:space="preserve">як у кошторисі 27.10 / as estimate 27.10</t>
  </si>
  <si>
    <t xml:space="preserve">Запас модулів / Module spare</t>
  </si>
  <si>
    <t xml:space="preserve">Фотомодуль ZNSHINE ZXN8-BD132-730, FOB / PV module, FOB</t>
  </si>
  <si>
    <t xml:space="preserve">$/шт</t>
  </si>
  <si>
    <t xml:space="preserve">КП ES-261026-01</t>
  </si>
  <si>
    <t xml:space="preserve">Кріплення по даху на баласті, на модуль / Roof rail mounting on ballast, per module</t>
  </si>
  <si>
    <t xml:space="preserve">$/модуль</t>
  </si>
  <si>
    <t xml:space="preserve">КП 26.10: 21 500 $ на 1 925 модулів / quote 26.10</t>
  </si>
  <si>
    <t xml:space="preserve">Кріплення «домік» 15°, на модуль / Dual-tilt 15° mounting, per module</t>
  </si>
  <si>
    <t xml:space="preserve">ГалКат 15° 22.10 + 4 притиски по 0,50 $ / GalKat 15° + 4 clamps</t>
  </si>
  <si>
    <t xml:space="preserve">Кріплення на стіні, на модуль / Wall mounting, per module</t>
  </si>
  <si>
    <t xml:space="preserve">Кабелі DC, MC4, металорукав, на стрінг / DC cables, MC4, conduit, per string</t>
  </si>
  <si>
    <t xml:space="preserve">$/стрінг</t>
  </si>
  <si>
    <t xml:space="preserve">Лотки, фасонні, кріплення, на стрінг / Trays, fittings, supports, per string</t>
  </si>
  <si>
    <t xml:space="preserve">Блискавкозахист: ПЗІП, провідники, затискачі, на модуль / Lightning protection, per module</t>
  </si>
  <si>
    <t xml:space="preserve">Кабель RS485 2×2×0,75 в екрані, FOB / RS485 cable, FOB</t>
  </si>
  <si>
    <t xml:space="preserve">$/м</t>
  </si>
  <si>
    <t xml:space="preserve">специфікація Китай 26.10 / China spec 26.10</t>
  </si>
  <si>
    <t xml:space="preserve">Наша комісія від закупівлі в Китаї / Our commission on China purchase</t>
  </si>
  <si>
    <t xml:space="preserve">договір комісії / commission agreement</t>
  </si>
  <si>
    <t xml:space="preserve">Доставка модулів, 40'HQ / 594 модулі / Module freight per module</t>
  </si>
  <si>
    <t xml:space="preserve">Доставка решти вантажу, на модуль / Other freight per module</t>
  </si>
  <si>
    <t xml:space="preserve">Страхування вантажу, крім модулів / Cargo insurance except modules</t>
  </si>
  <si>
    <t xml:space="preserve">Коефіцієнт митної вартості / Customs value factor</t>
  </si>
  <si>
    <t xml:space="preserve">кошторис під ключ 27.10 / turnkey estimate 27.10: мито / ставки × FOB</t>
  </si>
  <si>
    <t xml:space="preserve">Баластний блок з муфтою і матом / Ballast block with coupling and mat</t>
  </si>
  <si>
    <t xml:space="preserve">рішення власника 26.10 / owner decision 26.10</t>
  </si>
  <si>
    <t xml:space="preserve">Блоків під кріплення модулів — 3D-модель / Blocks under module mounting — 3D model</t>
  </si>
  <si>
    <t xml:space="preserve">арка 300 з матом і 164 без мата під крайні профілі, «домік» 112, трикутники 15° 36 / arch, edge profiles, dual-tilt, 15° triangles</t>
  </si>
  <si>
    <t xml:space="preserve">у т. ч. без мата під крайні профілі арки / incl. without mat under arch edge profiles</t>
  </si>
  <si>
    <t xml:space="preserve">antares/abk/mount.py</t>
  </si>
  <si>
    <t xml:space="preserve">Доставка матеріалів України, на блок / Ukrainian materials delivery, per block</t>
  </si>
  <si>
    <t xml:space="preserve">Встановлення і наладка СЕС / PV installation and commissioning</t>
  </si>
  <si>
    <t xml:space="preserve">$/кВтп</t>
  </si>
  <si>
    <t xml:space="preserve">Механізація, на модуль / Cranes and lifts, per module</t>
  </si>
  <si>
    <t xml:space="preserve">Витратні матеріали, на модуль / Consumables, per module</t>
  </si>
  <si>
    <t xml:space="preserve">Ставка монтажника / Installer rate</t>
  </si>
  <si>
    <t xml:space="preserve">грн/люд.·год</t>
  </si>
  <si>
    <t xml:space="preserve">ставка власника для КП / owner rate</t>
  </si>
  <si>
    <t xml:space="preserve">Запас / Contingency</t>
  </si>
  <si>
    <t xml:space="preserve">Винагорода генпідрядника / General contractor fee</t>
  </si>
  <si>
    <t xml:space="preserve">ПДВ / VAT</t>
  </si>
  <si>
    <t xml:space="preserve">ПКУ, ст. 193 / Tax Code art. 193</t>
  </si>
  <si>
    <t xml:space="preserve">Ціна 1 кВт·год, з ПДВ / Electricity price incl. VAT</t>
  </si>
  <si>
    <t xml:space="preserve">грн/кВт·год</t>
  </si>
  <si>
    <t xml:space="preserve">оцінка власника / owner estimate</t>
  </si>
  <si>
    <t xml:space="preserve">ККД інвертора (європейський) / Inverter Euro efficiency</t>
  </si>
  <si>
    <t xml:space="preserve">паспорт Deye SUN-70~110K-G03 (deye.com): Euro 98,2 %, макс. 98,8 %</t>
  </si>
  <si>
    <t xml:space="preserve">Анкер від сповзання з герметизацією, Україна / Anti-slide anchor with sealing, Ukraine</t>
  </si>
  <si>
    <t xml:space="preserve">кошторис СЕС і УЗЕ 26.10, позиція «Анкер від сповзання» / estimate 26.10</t>
  </si>
  <si>
    <t xml:space="preserve">Інвертор Deye SUN-100K-G03</t>
  </si>
  <si>
    <t xml:space="preserve">грн з ПДВ / UAH incl. VAT</t>
  </si>
  <si>
    <t xml:space="preserve">Кабель ВВГнг 5×70 мм², ГАЛ-КАТ, за 1 м</t>
  </si>
  <si>
    <t xml:space="preserve">Автоматичний вимикач ABB FormulA A2B 250 TMF 200 (200 А, 18 кА)</t>
  </si>
  <si>
    <t xml:space="preserve">electroelan.dp.ua, 28.10.2026</t>
  </si>
  <si>
    <t xml:space="preserve">Корпус IEK ЩМП-4.6.2-0 74 У2, 400×600×250, IP54</t>
  </si>
  <si>
    <t xml:space="preserve">220volt.com.ua, 28.10.2026</t>
  </si>
  <si>
    <t xml:space="preserve">Лічильник CHINT DTSU666 з трансформаторами струму NCTK 250 А, комплект</t>
  </si>
  <si>
    <t xml:space="preserve">Драбина пожежна металева, за 1 м</t>
  </si>
  <si>
    <t xml:space="preserve">Огородження покрівлі OBERIG H 600 мм, сталь з порошковим покриттям, за 1 м</t>
  </si>
  <si>
    <t xml:space="preserve">Плитка гумова 500×500×20 мм, за 1 м²</t>
  </si>
  <si>
    <t xml:space="preserve">ПЗІП AC тип 2 Eaton SPCT2-280/4, 4P, 280 В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</si>
</sst>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##;\(#,##0.##\);\-"/>
    <numFmt numFmtId="166" formatCode="#,##0.00;\(#,##0.00\);\-"/>
    <numFmt numFmtId="167" formatCode="0.0%;;\-"/>
    <numFmt numFmtId="168" formatCode="#,##0;\(#,##0\);\-"/>
    <numFmt numFmtId="169" formatCode="0.00"/>
    <numFmt numFmtId="170" formatCode="0.0%"/>
    <numFmt numFmtId="171" formatCode="0.0000"/>
    <numFmt numFmtId="172" formatCode="#,##0.00"/>
    <numFmt numFmtId="173" formatCode="#,##0.0"/>
    <numFmt numFmtId="174" formatCode="#,##0"/>
    <numFmt numFmtId="175" formatCode="0.0"/>
    <numFmt numFmtId="176" formatCode="0.000"/>
    <numFmt numFmtId="17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4D5C66"/>
      <name val="Arial"/>
      <family val="0"/>
      <charset val="1"/>
    </font>
    <font>
      <sz val="8"/>
      <color rgb="FF5B677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4D5C66"/>
      <name val="Arial"/>
      <family val="0"/>
      <charset val="1"/>
    </font>
    <font>
      <sz val="9"/>
      <name val="Arial"/>
      <family val="0"/>
      <charset val="1"/>
    </font>
    <font>
      <i val="true"/>
      <sz val="8.5"/>
      <color rgb="FF4D5C66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7A879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6EBF0"/>
        <bgColor rgb="FFE3EDF3"/>
      </patternFill>
    </fill>
    <fill>
      <patternFill patternType="solid">
        <fgColor rgb="FFF3F5F7"/>
        <bgColor rgb="FFE6EBF0"/>
      </patternFill>
    </fill>
    <fill>
      <patternFill patternType="solid">
        <fgColor rgb="FFFFFF00"/>
        <bgColor rgb="FFFFFF00"/>
      </patternFill>
    </fill>
    <fill>
      <patternFill patternType="solid">
        <fgColor rgb="FFE3EDF3"/>
        <bgColor rgb="FFE6EB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CCD3"/>
      </left>
      <right style="thin">
        <color rgb="FFC4CCD3"/>
      </right>
      <top style="thin">
        <color rgb="FFC4CCD3"/>
      </top>
      <bottom style="thin">
        <color rgb="FFC4CC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CD3"/>
      <rgbColor rgb="FF7A8790"/>
      <rgbColor rgb="FF9999FF"/>
      <rgbColor rgb="FF993366"/>
      <rgbColor rgb="FFFFFFCC"/>
      <rgbColor rgb="FFE3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B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770"/>
      <rgbColor rgb="FF969696"/>
      <rgbColor rgb="FF003366"/>
      <rgbColor rgb="FF339966"/>
      <rgbColor rgb="FF003300"/>
      <rgbColor rgb="FF333300"/>
      <rgbColor rgb="FF993300"/>
      <rgbColor rgb="FF993366"/>
      <rgbColor rgb="FF4D5C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D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51"/>
    <col collapsed="false" customWidth="true" hidden="false" outlineLevel="0" max="2" min="2" style="0" width="52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4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7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5" hidden="false" customHeight="false" outlineLevel="0" collapsed="false">
      <c r="A6" s="5" t="s">
        <v>12</v>
      </c>
      <c r="B6" s="6"/>
      <c r="C6" s="7" t="s">
        <v>13</v>
      </c>
      <c r="D6" s="6"/>
      <c r="E6" s="6"/>
      <c r="F6" s="6"/>
      <c r="G6" s="6"/>
      <c r="H6" s="6"/>
      <c r="I6" s="6"/>
    </row>
    <row r="7" customFormat="false" ht="22.35" hidden="false" customHeight="false" outlineLevel="0" collapsed="false">
      <c r="A7" s="8" t="s">
        <v>14</v>
      </c>
      <c r="B7" s="9" t="s">
        <v>15</v>
      </c>
      <c r="C7" s="10" t="s">
        <v>16</v>
      </c>
      <c r="D7" s="8" t="s">
        <v>17</v>
      </c>
      <c r="E7" s="11" t="n">
        <f aca="false">Параметри!B10</f>
        <v>135</v>
      </c>
      <c r="F7" s="12" t="n">
        <f aca="false">Параметри!$B$31</f>
        <v>73</v>
      </c>
      <c r="G7" s="13" t="n">
        <v>0</v>
      </c>
      <c r="H7" s="14" t="n">
        <f aca="false">E7*F7</f>
        <v>9855</v>
      </c>
      <c r="I7" s="15" t="s">
        <v>18</v>
      </c>
    </row>
    <row r="8" customFormat="false" ht="22.35" hidden="false" customHeight="false" outlineLevel="0" collapsed="false">
      <c r="A8" s="8" t="s">
        <v>19</v>
      </c>
      <c r="B8" s="9" t="s">
        <v>20</v>
      </c>
      <c r="C8" s="10" t="s">
        <v>21</v>
      </c>
      <c r="D8" s="8" t="s">
        <v>22</v>
      </c>
      <c r="E8" s="11" t="n">
        <f aca="false">Параметри!B5</f>
        <v>86</v>
      </c>
      <c r="F8" s="12" t="n">
        <f aca="false">Параметри!$B$32</f>
        <v>11.1688311688312</v>
      </c>
      <c r="G8" s="13" t="n">
        <v>0.008</v>
      </c>
      <c r="H8" s="14" t="n">
        <f aca="false">E8*F8</f>
        <v>960.519480519481</v>
      </c>
      <c r="I8" s="15" t="s">
        <v>23</v>
      </c>
    </row>
    <row r="9" customFormat="false" ht="32.8" hidden="false" customHeight="false" outlineLevel="0" collapsed="false">
      <c r="A9" s="8" t="s">
        <v>24</v>
      </c>
      <c r="B9" s="9" t="s">
        <v>25</v>
      </c>
      <c r="C9" s="10" t="s">
        <v>26</v>
      </c>
      <c r="D9" s="8" t="s">
        <v>22</v>
      </c>
      <c r="E9" s="11" t="n">
        <f aca="false">Параметри!B6+Параметри!B7</f>
        <v>37</v>
      </c>
      <c r="F9" s="12" t="n">
        <f aca="false">Параметри!$B$33</f>
        <v>10.897619047619</v>
      </c>
      <c r="G9" s="13" t="n">
        <v>0.008</v>
      </c>
      <c r="H9" s="14" t="n">
        <f aca="false">E9*F9</f>
        <v>403.211904761905</v>
      </c>
      <c r="I9" s="15" t="s">
        <v>27</v>
      </c>
    </row>
    <row r="10" customFormat="false" ht="22.35" hidden="false" customHeight="false" outlineLevel="0" collapsed="false">
      <c r="A10" s="8" t="s">
        <v>28</v>
      </c>
      <c r="B10" s="9" t="s">
        <v>29</v>
      </c>
      <c r="C10" s="10" t="s">
        <v>30</v>
      </c>
      <c r="D10" s="8" t="s">
        <v>22</v>
      </c>
      <c r="E10" s="11" t="n">
        <f aca="false">Параметри!B8</f>
        <v>9</v>
      </c>
      <c r="F10" s="12" t="n">
        <f aca="false">Параметри!$B$34</f>
        <v>8.6026936026936</v>
      </c>
      <c r="G10" s="13" t="n">
        <v>0.008</v>
      </c>
      <c r="H10" s="14" t="n">
        <f aca="false">E10*F10</f>
        <v>77.4242424242424</v>
      </c>
      <c r="I10" s="15" t="s">
        <v>31</v>
      </c>
    </row>
    <row r="11" customFormat="false" ht="22.35" hidden="false" customHeight="false" outlineLevel="0" collapsed="false">
      <c r="A11" s="8" t="s">
        <v>32</v>
      </c>
      <c r="B11" s="9" t="s">
        <v>33</v>
      </c>
      <c r="C11" s="10" t="s">
        <v>34</v>
      </c>
      <c r="D11" s="8" t="s">
        <v>35</v>
      </c>
      <c r="E11" s="11" t="n">
        <f aca="false">Параметри!B12</f>
        <v>11</v>
      </c>
      <c r="F11" s="12" t="n">
        <f aca="false">Параметри!$B$35</f>
        <v>60</v>
      </c>
      <c r="G11" s="13" t="n">
        <v>0.067</v>
      </c>
      <c r="H11" s="14" t="n">
        <f aca="false">E11*F11</f>
        <v>660</v>
      </c>
      <c r="I11" s="15" t="s">
        <v>36</v>
      </c>
    </row>
    <row r="12" customFormat="false" ht="22.35" hidden="false" customHeight="false" outlineLevel="0" collapsed="false">
      <c r="A12" s="8" t="s">
        <v>37</v>
      </c>
      <c r="B12" s="9" t="s">
        <v>38</v>
      </c>
      <c r="C12" s="10" t="s">
        <v>39</v>
      </c>
      <c r="D12" s="8" t="s">
        <v>35</v>
      </c>
      <c r="E12" s="11" t="n">
        <f aca="false">Параметри!B12</f>
        <v>11</v>
      </c>
      <c r="F12" s="12" t="n">
        <f aca="false">Параметри!$B$36</f>
        <v>64.5729166666667</v>
      </c>
      <c r="G12" s="13" t="n">
        <v>0.001</v>
      </c>
      <c r="H12" s="14" t="n">
        <f aca="false">E12*F12</f>
        <v>710.302083333333</v>
      </c>
      <c r="I12" s="15" t="s">
        <v>40</v>
      </c>
    </row>
    <row r="13" customFormat="false" ht="22.35" hidden="false" customHeight="false" outlineLevel="0" collapsed="false">
      <c r="A13" s="8" t="s">
        <v>41</v>
      </c>
      <c r="B13" s="9" t="s">
        <v>42</v>
      </c>
      <c r="C13" s="10" t="s">
        <v>43</v>
      </c>
      <c r="D13" s="8" t="s">
        <v>22</v>
      </c>
      <c r="E13" s="11" t="n">
        <f aca="false">Параметри!B9</f>
        <v>132</v>
      </c>
      <c r="F13" s="12" t="n">
        <f aca="false">Параметри!$B$37</f>
        <v>1.13636363636364</v>
      </c>
      <c r="G13" s="13" t="n">
        <v>0.05</v>
      </c>
      <c r="H13" s="14" t="n">
        <f aca="false">E13*F13</f>
        <v>150</v>
      </c>
      <c r="I13" s="15" t="s">
        <v>44</v>
      </c>
    </row>
    <row r="14" customFormat="false" ht="15" hidden="false" customHeight="false" outlineLevel="0" collapsed="false">
      <c r="A14" s="8" t="s">
        <v>45</v>
      </c>
      <c r="B14" s="9" t="s">
        <v>46</v>
      </c>
      <c r="C14" s="10" t="s">
        <v>47</v>
      </c>
      <c r="D14" s="8" t="s">
        <v>48</v>
      </c>
      <c r="E14" s="11" t="n">
        <f aca="false">Параметри!B18</f>
        <v>55</v>
      </c>
      <c r="F14" s="16" t="n">
        <f aca="false">Параметри!$B$38</f>
        <v>0.262857142857143</v>
      </c>
      <c r="G14" s="13" t="n">
        <v>0.1</v>
      </c>
      <c r="H14" s="14" t="n">
        <f aca="false">E14*F14</f>
        <v>14.4571428571429</v>
      </c>
      <c r="I14" s="15" t="s">
        <v>49</v>
      </c>
    </row>
    <row r="15" customFormat="false" ht="15" hidden="false" customHeight="false" outlineLevel="0" collapsed="false">
      <c r="A15" s="17"/>
      <c r="B15" s="18" t="s">
        <v>50</v>
      </c>
      <c r="C15" s="19" t="s">
        <v>51</v>
      </c>
      <c r="D15" s="17"/>
      <c r="E15" s="17"/>
      <c r="F15" s="17"/>
      <c r="G15" s="17"/>
      <c r="H15" s="20" t="n">
        <f aca="false">SUM(H7:H14)</f>
        <v>12830.9148538961</v>
      </c>
      <c r="I15" s="17"/>
    </row>
    <row r="16" customFormat="false" ht="15" hidden="false" customHeight="false" outlineLevel="0" collapsed="false">
      <c r="A16" s="5" t="s">
        <v>52</v>
      </c>
      <c r="B16" s="6"/>
      <c r="C16" s="7" t="s">
        <v>53</v>
      </c>
      <c r="D16" s="6"/>
      <c r="E16" s="6"/>
      <c r="F16" s="6"/>
      <c r="G16" s="6"/>
      <c r="H16" s="6"/>
      <c r="I16" s="6"/>
    </row>
    <row r="17" customFormat="false" ht="15" hidden="false" customHeight="false" outlineLevel="0" collapsed="false">
      <c r="A17" s="8" t="s">
        <v>54</v>
      </c>
      <c r="B17" s="9" t="s">
        <v>55</v>
      </c>
      <c r="C17" s="10" t="s">
        <v>56</v>
      </c>
      <c r="D17" s="8"/>
      <c r="E17" s="21"/>
      <c r="F17" s="22" t="n">
        <f aca="false">Параметри!$B$39</f>
        <v>0.05</v>
      </c>
      <c r="G17" s="13"/>
      <c r="H17" s="14" t="n">
        <f aca="false">H15*F17</f>
        <v>641.545742694805</v>
      </c>
      <c r="I17" s="15" t="s">
        <v>57</v>
      </c>
    </row>
    <row r="18" customFormat="false" ht="15" hidden="false" customHeight="false" outlineLevel="0" collapsed="false">
      <c r="A18" s="17"/>
      <c r="B18" s="18" t="s">
        <v>58</v>
      </c>
      <c r="C18" s="19" t="s">
        <v>59</v>
      </c>
      <c r="D18" s="17"/>
      <c r="E18" s="17"/>
      <c r="F18" s="17"/>
      <c r="G18" s="17"/>
      <c r="H18" s="20" t="n">
        <f aca="false">H17</f>
        <v>641.545742694805</v>
      </c>
      <c r="I18" s="17"/>
    </row>
    <row r="19" customFormat="false" ht="15" hidden="false" customHeight="false" outlineLevel="0" collapsed="false">
      <c r="A19" s="5" t="s">
        <v>60</v>
      </c>
      <c r="B19" s="6"/>
      <c r="C19" s="7" t="s">
        <v>61</v>
      </c>
      <c r="D19" s="6"/>
      <c r="E19" s="6"/>
      <c r="F19" s="6"/>
      <c r="G19" s="6"/>
      <c r="H19" s="6"/>
      <c r="I19" s="6"/>
    </row>
    <row r="20" customFormat="false" ht="15" hidden="false" customHeight="false" outlineLevel="0" collapsed="false">
      <c r="A20" s="8" t="s">
        <v>62</v>
      </c>
      <c r="B20" s="9" t="s">
        <v>63</v>
      </c>
      <c r="C20" s="10" t="s">
        <v>64</v>
      </c>
      <c r="D20" s="8" t="s">
        <v>17</v>
      </c>
      <c r="E20" s="11" t="n">
        <f aca="false">Параметри!B10</f>
        <v>135</v>
      </c>
      <c r="F20" s="12" t="n">
        <f aca="false">Параметри!$B$40</f>
        <v>11.7845117845118</v>
      </c>
      <c r="G20" s="13"/>
      <c r="H20" s="14" t="n">
        <f aca="false">E20*F20</f>
        <v>1590.90909090909</v>
      </c>
      <c r="I20" s="15" t="s">
        <v>65</v>
      </c>
    </row>
    <row r="21" customFormat="false" ht="15" hidden="false" customHeight="false" outlineLevel="0" collapsed="false">
      <c r="A21" s="8" t="s">
        <v>66</v>
      </c>
      <c r="B21" s="9" t="s">
        <v>67</v>
      </c>
      <c r="C21" s="10" t="s">
        <v>68</v>
      </c>
      <c r="D21" s="8" t="s">
        <v>22</v>
      </c>
      <c r="E21" s="11" t="n">
        <f aca="false">Параметри!B9</f>
        <v>132</v>
      </c>
      <c r="F21" s="12" t="n">
        <f aca="false">Параметри!$B$41</f>
        <v>6.62878787878788</v>
      </c>
      <c r="G21" s="13"/>
      <c r="H21" s="14" t="n">
        <f aca="false">E21*F21</f>
        <v>875</v>
      </c>
      <c r="I21" s="15" t="s">
        <v>69</v>
      </c>
    </row>
    <row r="22" customFormat="false" ht="15" hidden="false" customHeight="false" outlineLevel="0" collapsed="false">
      <c r="A22" s="8" t="s">
        <v>70</v>
      </c>
      <c r="B22" s="9" t="s">
        <v>71</v>
      </c>
      <c r="C22" s="10" t="s">
        <v>72</v>
      </c>
      <c r="D22" s="8"/>
      <c r="E22" s="21"/>
      <c r="F22" s="22" t="n">
        <f aca="false">Параметри!$B$42</f>
        <v>0.003</v>
      </c>
      <c r="G22" s="13"/>
      <c r="H22" s="14" t="n">
        <f aca="false">(H15-H7)*F22</f>
        <v>8.92774456168832</v>
      </c>
      <c r="I22" s="15" t="s">
        <v>73</v>
      </c>
    </row>
    <row r="23" customFormat="false" ht="15" hidden="false" customHeight="false" outlineLevel="0" collapsed="false">
      <c r="A23" s="8" t="s">
        <v>74</v>
      </c>
      <c r="B23" s="9" t="s">
        <v>75</v>
      </c>
      <c r="C23" s="10" t="s">
        <v>76</v>
      </c>
      <c r="D23" s="8"/>
      <c r="E23" s="21"/>
      <c r="F23" s="23" t="n">
        <f aca="false">Параметри!$B$43</f>
        <v>1.14313318257672</v>
      </c>
      <c r="G23" s="13"/>
      <c r="H23" s="14" t="n">
        <f aca="false">SUMPRODUCT(G7:G14,H7:H14)*F23</f>
        <v>74.7669246108049</v>
      </c>
      <c r="I23" s="15" t="s">
        <v>77</v>
      </c>
    </row>
    <row r="24" customFormat="false" ht="15" hidden="false" customHeight="false" outlineLevel="0" collapsed="false">
      <c r="A24" s="17"/>
      <c r="B24" s="18" t="s">
        <v>78</v>
      </c>
      <c r="C24" s="19" t="s">
        <v>79</v>
      </c>
      <c r="D24" s="17"/>
      <c r="E24" s="17"/>
      <c r="F24" s="17"/>
      <c r="G24" s="17"/>
      <c r="H24" s="20" t="n">
        <f aca="false">SUM(H20:H23)</f>
        <v>2549.60376008158</v>
      </c>
      <c r="I24" s="17"/>
    </row>
    <row r="25" customFormat="false" ht="15" hidden="false" customHeight="false" outlineLevel="0" collapsed="false">
      <c r="A25" s="5" t="s">
        <v>80</v>
      </c>
      <c r="B25" s="6"/>
      <c r="C25" s="7" t="s">
        <v>81</v>
      </c>
      <c r="D25" s="6"/>
      <c r="E25" s="6"/>
      <c r="F25" s="6"/>
      <c r="G25" s="6"/>
      <c r="H25" s="6"/>
      <c r="I25" s="6"/>
    </row>
    <row r="26" customFormat="false" ht="32.8" hidden="false" customHeight="false" outlineLevel="0" collapsed="false">
      <c r="A26" s="8" t="s">
        <v>82</v>
      </c>
      <c r="B26" s="9" t="s">
        <v>83</v>
      </c>
      <c r="C26" s="10" t="s">
        <v>84</v>
      </c>
      <c r="D26" s="8" t="s">
        <v>17</v>
      </c>
      <c r="E26" s="24" t="n">
        <v>1</v>
      </c>
      <c r="F26" s="12" t="n">
        <f aca="false">Параметри!$B$58/(1+Параметри!$B$54)/Параметри!$B$29</f>
        <v>2595.77114427861</v>
      </c>
      <c r="G26" s="13"/>
      <c r="H26" s="14" t="n">
        <f aca="false">E26*F26</f>
        <v>2595.77114427861</v>
      </c>
      <c r="I26" s="15" t="s">
        <v>85</v>
      </c>
    </row>
    <row r="27" customFormat="false" ht="32.8" hidden="false" customHeight="false" outlineLevel="0" collapsed="false">
      <c r="A27" s="8" t="s">
        <v>86</v>
      </c>
      <c r="B27" s="9" t="s">
        <v>87</v>
      </c>
      <c r="C27" s="10" t="s">
        <v>88</v>
      </c>
      <c r="D27" s="8" t="s">
        <v>17</v>
      </c>
      <c r="E27" s="11" t="n">
        <f aca="false">Параметри!B16</f>
        <v>684</v>
      </c>
      <c r="F27" s="12" t="n">
        <f aca="false">Параметри!$B$44</f>
        <v>3</v>
      </c>
      <c r="G27" s="13"/>
      <c r="H27" s="14" t="n">
        <f aca="false">E27*F27</f>
        <v>2052</v>
      </c>
      <c r="I27" s="15" t="s">
        <v>89</v>
      </c>
    </row>
    <row r="28" customFormat="false" ht="22.35" hidden="false" customHeight="false" outlineLevel="0" collapsed="false">
      <c r="A28" s="8" t="s">
        <v>90</v>
      </c>
      <c r="B28" s="9" t="s">
        <v>91</v>
      </c>
      <c r="C28" s="10" t="s">
        <v>92</v>
      </c>
      <c r="D28" s="8" t="s">
        <v>48</v>
      </c>
      <c r="E28" s="11" t="n">
        <f aca="false">Параметри!B17</f>
        <v>45</v>
      </c>
      <c r="F28" s="12" t="n">
        <f aca="false">Параметри!$B$59/(1+Параметри!$B$54)/Параметри!$B$29</f>
        <v>59.8544590480434</v>
      </c>
      <c r="G28" s="13"/>
      <c r="H28" s="14" t="n">
        <f aca="false">E28*F28</f>
        <v>2693.45065716195</v>
      </c>
      <c r="I28" s="15" t="s">
        <v>93</v>
      </c>
    </row>
    <row r="29" customFormat="false" ht="22.35" hidden="false" customHeight="false" outlineLevel="0" collapsed="false">
      <c r="A29" s="8" t="s">
        <v>94</v>
      </c>
      <c r="B29" s="9" t="s">
        <v>95</v>
      </c>
      <c r="C29" s="10" t="s">
        <v>96</v>
      </c>
      <c r="D29" s="8" t="s">
        <v>97</v>
      </c>
      <c r="E29" s="24" t="n">
        <v>1</v>
      </c>
      <c r="F29" s="12" t="n">
        <f aca="false">Параметри!$B$60/(1+Параметри!$B$54)/Параметри!$B$29+Параметри!$B$61/(1+Параметри!$B$54)/Параметри!$B$29</f>
        <v>296.629167594862</v>
      </c>
      <c r="G29" s="13"/>
      <c r="H29" s="14" t="n">
        <f aca="false">E29*F29</f>
        <v>296.629167594862</v>
      </c>
      <c r="I29" s="15" t="s">
        <v>98</v>
      </c>
    </row>
    <row r="30" customFormat="false" ht="15" hidden="false" customHeight="false" outlineLevel="0" collapsed="false">
      <c r="A30" s="8" t="s">
        <v>99</v>
      </c>
      <c r="B30" s="9" t="s">
        <v>100</v>
      </c>
      <c r="C30" s="10" t="s">
        <v>101</v>
      </c>
      <c r="D30" s="8" t="s">
        <v>17</v>
      </c>
      <c r="E30" s="24" t="n">
        <v>1</v>
      </c>
      <c r="F30" s="12" t="n">
        <f aca="false">Параметри!$B$66/(1+Параметри!$B$54)/Параметри!$B$29</f>
        <v>123.870201232643</v>
      </c>
      <c r="G30" s="13"/>
      <c r="H30" s="14" t="n">
        <f aca="false">E30*F30</f>
        <v>123.870201232643</v>
      </c>
      <c r="I30" s="15" t="s">
        <v>102</v>
      </c>
    </row>
    <row r="31" customFormat="false" ht="22.35" hidden="false" customHeight="false" outlineLevel="0" collapsed="false">
      <c r="A31" s="8" t="s">
        <v>103</v>
      </c>
      <c r="B31" s="9" t="s">
        <v>104</v>
      </c>
      <c r="C31" s="10" t="s">
        <v>105</v>
      </c>
      <c r="D31" s="8" t="s">
        <v>97</v>
      </c>
      <c r="E31" s="24" t="n">
        <v>1</v>
      </c>
      <c r="F31" s="12" t="n">
        <f aca="false">Параметри!$B$62/(1+Параметри!$B$54)/Параметри!$B$29</f>
        <v>131.729412638301</v>
      </c>
      <c r="G31" s="13"/>
      <c r="H31" s="14" t="n">
        <f aca="false">E31*F31</f>
        <v>131.729412638301</v>
      </c>
      <c r="I31" s="15" t="s">
        <v>106</v>
      </c>
    </row>
    <row r="32" customFormat="false" ht="15" hidden="false" customHeight="false" outlineLevel="0" collapsed="false">
      <c r="A32" s="8" t="s">
        <v>107</v>
      </c>
      <c r="B32" s="9" t="s">
        <v>108</v>
      </c>
      <c r="C32" s="10" t="s">
        <v>109</v>
      </c>
      <c r="D32" s="8" t="s">
        <v>110</v>
      </c>
      <c r="E32" s="11" t="n">
        <f aca="false">Параметри!B16</f>
        <v>684</v>
      </c>
      <c r="F32" s="12" t="n">
        <f aca="false">Параметри!$B$47</f>
        <v>0.338365183876666</v>
      </c>
      <c r="G32" s="13"/>
      <c r="H32" s="14" t="n">
        <f aca="false">E32*F32</f>
        <v>231.44178577164</v>
      </c>
      <c r="I32" s="15" t="s">
        <v>111</v>
      </c>
    </row>
    <row r="33" customFormat="false" ht="15" hidden="false" customHeight="false" outlineLevel="0" collapsed="false">
      <c r="A33" s="8" t="s">
        <v>112</v>
      </c>
      <c r="B33" s="9" t="s">
        <v>113</v>
      </c>
      <c r="C33" s="10" t="s">
        <v>114</v>
      </c>
      <c r="D33" s="8" t="s">
        <v>48</v>
      </c>
      <c r="E33" s="11" t="n">
        <f aca="false">Параметри!B19</f>
        <v>5.8</v>
      </c>
      <c r="F33" s="12" t="n">
        <f aca="false">Параметри!$B$63/(1+Параметри!$B$54)/Параметри!$B$29</f>
        <v>167.075072399198</v>
      </c>
      <c r="G33" s="13"/>
      <c r="H33" s="14" t="n">
        <f aca="false">E33*F33</f>
        <v>969.035419915349</v>
      </c>
      <c r="I33" s="15" t="s">
        <v>115</v>
      </c>
    </row>
    <row r="34" customFormat="false" ht="19.4" hidden="false" customHeight="false" outlineLevel="0" collapsed="false">
      <c r="A34" s="8" t="s">
        <v>116</v>
      </c>
      <c r="B34" s="9" t="s">
        <v>117</v>
      </c>
      <c r="C34" s="10" t="s">
        <v>118</v>
      </c>
      <c r="D34" s="8" t="s">
        <v>17</v>
      </c>
      <c r="E34" s="11" t="n">
        <f aca="false">Параметри!B20</f>
        <v>1</v>
      </c>
      <c r="F34" s="25" t="n">
        <v>0</v>
      </c>
      <c r="G34" s="13"/>
      <c r="H34" s="14" t="n">
        <f aca="false">E34*F34</f>
        <v>0</v>
      </c>
      <c r="I34" s="15" t="s">
        <v>119</v>
      </c>
    </row>
    <row r="35" customFormat="false" ht="15" hidden="false" customHeight="false" outlineLevel="0" collapsed="false">
      <c r="A35" s="8" t="s">
        <v>120</v>
      </c>
      <c r="B35" s="9" t="s">
        <v>121</v>
      </c>
      <c r="C35" s="10" t="s">
        <v>122</v>
      </c>
      <c r="D35" s="8" t="s">
        <v>48</v>
      </c>
      <c r="E35" s="11" t="n">
        <f aca="false">Параметри!B21</f>
        <v>5.6</v>
      </c>
      <c r="F35" s="12" t="n">
        <f aca="false">Параметри!$B$63/(1+Параметри!$B$54)/Параметри!$B$29</f>
        <v>167.075072399198</v>
      </c>
      <c r="G35" s="13"/>
      <c r="H35" s="14" t="n">
        <f aca="false">E35*F35</f>
        <v>935.620405435509</v>
      </c>
      <c r="I35" s="15" t="s">
        <v>115</v>
      </c>
    </row>
    <row r="36" customFormat="false" ht="15" hidden="false" customHeight="false" outlineLevel="0" collapsed="false">
      <c r="A36" s="8" t="s">
        <v>123</v>
      </c>
      <c r="B36" s="9" t="s">
        <v>124</v>
      </c>
      <c r="C36" s="10" t="s">
        <v>125</v>
      </c>
      <c r="D36" s="8" t="s">
        <v>48</v>
      </c>
      <c r="E36" s="11" t="n">
        <f aca="false">Параметри!B22</f>
        <v>99</v>
      </c>
      <c r="F36" s="12" t="n">
        <f aca="false">Параметри!$B$64/(1+Параметри!$B$54)/Параметри!$B$29</f>
        <v>13.324237023836</v>
      </c>
      <c r="G36" s="13"/>
      <c r="H36" s="14" t="n">
        <f aca="false">E36*F36</f>
        <v>1319.09946535977</v>
      </c>
      <c r="I36" s="15" t="s">
        <v>126</v>
      </c>
    </row>
    <row r="37" customFormat="false" ht="15" hidden="false" customHeight="false" outlineLevel="0" collapsed="false">
      <c r="A37" s="8" t="s">
        <v>127</v>
      </c>
      <c r="B37" s="9" t="s">
        <v>128</v>
      </c>
      <c r="C37" s="10" t="s">
        <v>129</v>
      </c>
      <c r="D37" s="8" t="s">
        <v>130</v>
      </c>
      <c r="E37" s="11" t="n">
        <f aca="false">Параметри!B23</f>
        <v>63</v>
      </c>
      <c r="F37" s="12" t="n">
        <f aca="false">Параметри!$B$65/(1+Параметри!$B$54)/Параметри!$B$29</f>
        <v>20.2346476572362</v>
      </c>
      <c r="G37" s="13"/>
      <c r="H37" s="14" t="n">
        <f aca="false">E37*F37</f>
        <v>1274.78280240588</v>
      </c>
      <c r="I37" s="15" t="s">
        <v>131</v>
      </c>
    </row>
    <row r="38" customFormat="false" ht="15" hidden="false" customHeight="false" outlineLevel="0" collapsed="false">
      <c r="A38" s="8" t="s">
        <v>132</v>
      </c>
      <c r="B38" s="9" t="s">
        <v>133</v>
      </c>
      <c r="C38" s="10" t="s">
        <v>134</v>
      </c>
      <c r="D38" s="8" t="s">
        <v>17</v>
      </c>
      <c r="E38" s="11" t="n">
        <f aca="false">Параметри!B25</f>
        <v>10</v>
      </c>
      <c r="F38" s="12" t="n">
        <f aca="false">Параметри!$B$57</f>
        <v>44.99</v>
      </c>
      <c r="G38" s="13"/>
      <c r="H38" s="14" t="n">
        <f aca="false">E38*F38</f>
        <v>449.9</v>
      </c>
      <c r="I38" s="15" t="s">
        <v>135</v>
      </c>
    </row>
    <row r="39" customFormat="false" ht="15" hidden="false" customHeight="false" outlineLevel="0" collapsed="false">
      <c r="A39" s="17"/>
      <c r="B39" s="18" t="s">
        <v>136</v>
      </c>
      <c r="C39" s="19" t="s">
        <v>137</v>
      </c>
      <c r="D39" s="17"/>
      <c r="E39" s="17"/>
      <c r="F39" s="17"/>
      <c r="G39" s="17"/>
      <c r="H39" s="20" t="n">
        <f aca="false">SUM(H26:H38)</f>
        <v>13073.3304617945</v>
      </c>
      <c r="I39" s="17"/>
    </row>
    <row r="40" customFormat="false" ht="15" hidden="false" customHeight="false" outlineLevel="0" collapsed="false">
      <c r="A40" s="5" t="s">
        <v>138</v>
      </c>
      <c r="B40" s="6"/>
      <c r="C40" s="7" t="s">
        <v>139</v>
      </c>
      <c r="D40" s="6"/>
      <c r="E40" s="6"/>
      <c r="F40" s="6"/>
      <c r="G40" s="6"/>
      <c r="H40" s="6"/>
      <c r="I40" s="6"/>
    </row>
    <row r="41" customFormat="false" ht="22.35" hidden="false" customHeight="false" outlineLevel="0" collapsed="false">
      <c r="A41" s="8" t="s">
        <v>140</v>
      </c>
      <c r="B41" s="9" t="s">
        <v>141</v>
      </c>
      <c r="C41" s="10" t="s">
        <v>142</v>
      </c>
      <c r="D41" s="8" t="s">
        <v>143</v>
      </c>
      <c r="E41" s="11" t="n">
        <f aca="false">Параметри!B11</f>
        <v>96.36</v>
      </c>
      <c r="F41" s="12" t="n">
        <f aca="false">Параметри!$B$48</f>
        <v>50</v>
      </c>
      <c r="G41" s="13"/>
      <c r="H41" s="14" t="n">
        <f aca="false">E41*F41</f>
        <v>4818</v>
      </c>
      <c r="I41" s="15" t="s">
        <v>89</v>
      </c>
    </row>
    <row r="42" customFormat="false" ht="15" hidden="false" customHeight="false" outlineLevel="0" collapsed="false">
      <c r="A42" s="8" t="s">
        <v>144</v>
      </c>
      <c r="B42" s="9" t="s">
        <v>145</v>
      </c>
      <c r="C42" s="10" t="s">
        <v>146</v>
      </c>
      <c r="D42" s="8" t="s">
        <v>22</v>
      </c>
      <c r="E42" s="11" t="n">
        <f aca="false">Параметри!B9</f>
        <v>132</v>
      </c>
      <c r="F42" s="12" t="n">
        <f aca="false">Параметри!$B$49</f>
        <v>1.45833333333333</v>
      </c>
      <c r="G42" s="13"/>
      <c r="H42" s="14" t="n">
        <f aca="false">E42*F42</f>
        <v>192.5</v>
      </c>
      <c r="I42" s="15" t="s">
        <v>147</v>
      </c>
    </row>
    <row r="43" customFormat="false" ht="22.35" hidden="false" customHeight="false" outlineLevel="0" collapsed="false">
      <c r="A43" s="8" t="s">
        <v>148</v>
      </c>
      <c r="B43" s="9" t="s">
        <v>149</v>
      </c>
      <c r="C43" s="10" t="s">
        <v>150</v>
      </c>
      <c r="D43" s="8" t="s">
        <v>22</v>
      </c>
      <c r="E43" s="11" t="n">
        <f aca="false">Параметри!B9</f>
        <v>132</v>
      </c>
      <c r="F43" s="12" t="n">
        <f aca="false">Параметри!$B$50</f>
        <v>1.22348484848485</v>
      </c>
      <c r="G43" s="13"/>
      <c r="H43" s="14" t="n">
        <f aca="false">E43*F43</f>
        <v>161.5</v>
      </c>
      <c r="I43" s="15" t="s">
        <v>151</v>
      </c>
    </row>
    <row r="44" customFormat="false" ht="22.35" hidden="false" customHeight="false" outlineLevel="0" collapsed="false">
      <c r="A44" s="8" t="s">
        <v>152</v>
      </c>
      <c r="B44" s="9" t="s">
        <v>153</v>
      </c>
      <c r="C44" s="10" t="s">
        <v>154</v>
      </c>
      <c r="D44" s="8" t="s">
        <v>155</v>
      </c>
      <c r="E44" s="11" t="n">
        <f aca="false">Параметри!B24</f>
        <v>112</v>
      </c>
      <c r="F44" s="12" t="n">
        <f aca="false">Параметри!$B$51/Параметри!$B$29</f>
        <v>15.5936734239252</v>
      </c>
      <c r="G44" s="13"/>
      <c r="H44" s="14" t="n">
        <f aca="false">E44*F44</f>
        <v>1746.49142347962</v>
      </c>
      <c r="I44" s="15" t="s">
        <v>156</v>
      </c>
    </row>
    <row r="45" customFormat="false" ht="15" hidden="false" customHeight="false" outlineLevel="0" collapsed="false">
      <c r="A45" s="17"/>
      <c r="B45" s="18" t="s">
        <v>157</v>
      </c>
      <c r="C45" s="19" t="s">
        <v>158</v>
      </c>
      <c r="D45" s="17"/>
      <c r="E45" s="17"/>
      <c r="F45" s="17"/>
      <c r="G45" s="17"/>
      <c r="H45" s="20" t="n">
        <f aca="false">SUM(H41:H44)</f>
        <v>6918.49142347962</v>
      </c>
      <c r="I45" s="17"/>
    </row>
    <row r="47" customFormat="false" ht="15" hidden="false" customHeight="false" outlineLevel="0" collapsed="false">
      <c r="A47" s="26"/>
      <c r="B47" s="27" t="s">
        <v>159</v>
      </c>
      <c r="C47" s="28" t="s">
        <v>160</v>
      </c>
      <c r="D47" s="26"/>
      <c r="E47" s="26"/>
      <c r="F47" s="26"/>
      <c r="G47" s="26"/>
      <c r="H47" s="29" t="n">
        <f aca="false">H15+H18+H24+H39+H45</f>
        <v>36013.8862419466</v>
      </c>
      <c r="I47" s="26"/>
    </row>
    <row r="49" customFormat="false" ht="15" hidden="false" customHeight="false" outlineLevel="0" collapsed="false">
      <c r="A49" s="5" t="s">
        <v>161</v>
      </c>
      <c r="B49" s="6"/>
      <c r="C49" s="7" t="s">
        <v>162</v>
      </c>
      <c r="D49" s="6"/>
      <c r="E49" s="6"/>
      <c r="F49" s="6"/>
      <c r="G49" s="6"/>
      <c r="H49" s="6"/>
      <c r="I49" s="6"/>
    </row>
    <row r="50" customFormat="false" ht="15" hidden="false" customHeight="false" outlineLevel="0" collapsed="false">
      <c r="A50" s="8" t="s">
        <v>163</v>
      </c>
      <c r="B50" s="9" t="s">
        <v>164</v>
      </c>
      <c r="C50" s="10" t="s">
        <v>165</v>
      </c>
      <c r="D50" s="8"/>
      <c r="E50" s="21"/>
      <c r="F50" s="22" t="n">
        <f aca="false">Параметри!$B$52</f>
        <v>0.04</v>
      </c>
      <c r="G50" s="13"/>
      <c r="H50" s="14" t="n">
        <f aca="false">H47*F50</f>
        <v>1440.55544967787</v>
      </c>
      <c r="I50" s="15" t="s">
        <v>166</v>
      </c>
    </row>
    <row r="51" customFormat="false" ht="15" hidden="false" customHeight="false" outlineLevel="0" collapsed="false">
      <c r="A51" s="8" t="s">
        <v>167</v>
      </c>
      <c r="B51" s="9" t="s">
        <v>168</v>
      </c>
      <c r="C51" s="10" t="s">
        <v>169</v>
      </c>
      <c r="D51" s="8"/>
      <c r="E51" s="21"/>
      <c r="F51" s="22" t="n">
        <f aca="false">Параметри!$B$53</f>
        <v>0.18</v>
      </c>
      <c r="G51" s="13"/>
      <c r="H51" s="14" t="n">
        <f aca="false">H47*F51</f>
        <v>6482.49952355039</v>
      </c>
      <c r="I51" s="15" t="s">
        <v>166</v>
      </c>
    </row>
    <row r="52" customFormat="false" ht="15" hidden="false" customHeight="false" outlineLevel="0" collapsed="false">
      <c r="A52" s="17"/>
      <c r="B52" s="18" t="s">
        <v>170</v>
      </c>
      <c r="C52" s="19" t="s">
        <v>171</v>
      </c>
      <c r="D52" s="17"/>
      <c r="E52" s="17"/>
      <c r="F52" s="17"/>
      <c r="G52" s="17"/>
      <c r="H52" s="20" t="n">
        <f aca="false">H50+H51</f>
        <v>7923.05497322826</v>
      </c>
      <c r="I52" s="17"/>
    </row>
    <row r="54" customFormat="false" ht="15" hidden="false" customHeight="false" outlineLevel="0" collapsed="false">
      <c r="A54" s="26"/>
      <c r="B54" s="27" t="s">
        <v>172</v>
      </c>
      <c r="C54" s="28" t="s">
        <v>173</v>
      </c>
      <c r="D54" s="26"/>
      <c r="E54" s="26"/>
      <c r="F54" s="26"/>
      <c r="G54" s="26"/>
      <c r="H54" s="29" t="n">
        <f aca="false">H47+H52</f>
        <v>43936.9412151749</v>
      </c>
      <c r="I54" s="26"/>
    </row>
    <row r="55" customFormat="false" ht="15" hidden="false" customHeight="false" outlineLevel="0" collapsed="false">
      <c r="A55" s="17"/>
      <c r="B55" s="18" t="s">
        <v>174</v>
      </c>
      <c r="C55" s="19" t="s">
        <v>175</v>
      </c>
      <c r="D55" s="17"/>
      <c r="E55" s="17"/>
      <c r="F55" s="17"/>
      <c r="G55" s="17"/>
      <c r="H55" s="20" t="n">
        <f aca="false">H54*Параметри!$B$54</f>
        <v>8787.38824303498</v>
      </c>
      <c r="I55" s="17"/>
    </row>
    <row r="56" customFormat="false" ht="15" hidden="false" customHeight="false" outlineLevel="0" collapsed="false">
      <c r="A56" s="26"/>
      <c r="B56" s="27" t="s">
        <v>176</v>
      </c>
      <c r="C56" s="28" t="s">
        <v>177</v>
      </c>
      <c r="D56" s="26"/>
      <c r="E56" s="26"/>
      <c r="F56" s="26"/>
      <c r="G56" s="26"/>
      <c r="H56" s="29" t="n">
        <f aca="false">H54+H55</f>
        <v>52724.3294582099</v>
      </c>
      <c r="I56" s="26"/>
    </row>
    <row r="58" customFormat="false" ht="22.35" hidden="false" customHeight="false" outlineLevel="0" collapsed="false">
      <c r="A58" s="17"/>
      <c r="B58" s="18" t="s">
        <v>178</v>
      </c>
      <c r="C58" s="19" t="s">
        <v>179</v>
      </c>
      <c r="D58" s="17"/>
      <c r="E58" s="17"/>
      <c r="F58" s="17"/>
      <c r="G58" s="17"/>
      <c r="H58" s="20" t="n">
        <f aca="false">(H54-H7)*Параметри!$B$54</f>
        <v>6816.38824303498</v>
      </c>
      <c r="I58" s="17"/>
    </row>
    <row r="59" customFormat="false" ht="15" hidden="false" customHeight="false" outlineLevel="0" collapsed="false">
      <c r="A59" s="26"/>
      <c r="B59" s="27" t="s">
        <v>180</v>
      </c>
      <c r="C59" s="28" t="s">
        <v>181</v>
      </c>
      <c r="D59" s="26"/>
      <c r="E59" s="26"/>
      <c r="F59" s="26"/>
      <c r="G59" s="26"/>
      <c r="H59" s="29" t="n">
        <f aca="false">H54+H58</f>
        <v>50753.3294582099</v>
      </c>
      <c r="I59" s="26"/>
    </row>
    <row r="61" customFormat="false" ht="15" hidden="false" customHeight="false" outlineLevel="0" collapsed="false">
      <c r="A61" s="17"/>
      <c r="B61" s="18" t="s">
        <v>182</v>
      </c>
      <c r="C61" s="19" t="s">
        <v>183</v>
      </c>
      <c r="D61" s="17"/>
      <c r="E61" s="17"/>
      <c r="F61" s="17"/>
      <c r="G61" s="17"/>
      <c r="H61" s="20" t="n">
        <f aca="false">H54/Параметри!B11</f>
        <v>455.966596255447</v>
      </c>
      <c r="I61" s="17"/>
    </row>
    <row r="63" customFormat="false" ht="15" hidden="false" customHeight="false" outlineLevel="0" collapsed="false">
      <c r="A63" s="5" t="s">
        <v>184</v>
      </c>
      <c r="B63" s="6"/>
      <c r="C63" s="7" t="s">
        <v>185</v>
      </c>
      <c r="D63" s="6"/>
      <c r="E63" s="6"/>
      <c r="F63" s="6"/>
      <c r="G63" s="6"/>
      <c r="H63" s="6"/>
      <c r="I63" s="6"/>
    </row>
    <row r="64" customFormat="false" ht="15" hidden="false" customHeight="false" outlineLevel="0" collapsed="false">
      <c r="A64" s="17"/>
      <c r="B64" s="8" t="s">
        <v>186</v>
      </c>
      <c r="C64" s="30" t="s">
        <v>187</v>
      </c>
      <c r="D64" s="8" t="s">
        <v>143</v>
      </c>
      <c r="E64" s="17"/>
      <c r="F64" s="17"/>
      <c r="G64" s="17"/>
      <c r="H64" s="31" t="n">
        <f aca="false">Параметри!B11</f>
        <v>96.36</v>
      </c>
      <c r="I64" s="17"/>
    </row>
    <row r="65" customFormat="false" ht="15" hidden="false" customHeight="false" outlineLevel="0" collapsed="false">
      <c r="A65" s="17"/>
      <c r="B65" s="8" t="s">
        <v>188</v>
      </c>
      <c r="C65" s="30" t="s">
        <v>189</v>
      </c>
      <c r="D65" s="8" t="s">
        <v>190</v>
      </c>
      <c r="E65" s="17"/>
      <c r="F65" s="17"/>
      <c r="G65" s="17"/>
      <c r="H65" s="32" t="n">
        <f aca="false">Параметри!B14</f>
        <v>87.1</v>
      </c>
      <c r="I65" s="17"/>
    </row>
    <row r="66" customFormat="false" ht="15" hidden="false" customHeight="false" outlineLevel="0" collapsed="false">
      <c r="A66" s="17"/>
      <c r="B66" s="8" t="s">
        <v>191</v>
      </c>
      <c r="C66" s="30" t="s">
        <v>192</v>
      </c>
      <c r="D66" s="8" t="s">
        <v>190</v>
      </c>
      <c r="E66" s="17"/>
      <c r="F66" s="17"/>
      <c r="G66" s="17"/>
      <c r="H66" s="32" t="n">
        <f aca="false">H65*Параметри!$B$56</f>
        <v>85.5322</v>
      </c>
      <c r="I66" s="17"/>
    </row>
    <row r="67" customFormat="false" ht="15" hidden="false" customHeight="false" outlineLevel="0" collapsed="false">
      <c r="A67" s="17"/>
      <c r="B67" s="8" t="s">
        <v>193</v>
      </c>
      <c r="C67" s="30" t="s">
        <v>194</v>
      </c>
      <c r="D67" s="8" t="s">
        <v>195</v>
      </c>
      <c r="E67" s="17"/>
      <c r="F67" s="17"/>
      <c r="G67" s="17"/>
      <c r="H67" s="33" t="n">
        <f aca="false">H66*1000/H64</f>
        <v>887.631797426318</v>
      </c>
      <c r="I67" s="17"/>
    </row>
    <row r="68" customFormat="false" ht="15" hidden="false" customHeight="false" outlineLevel="0" collapsed="false">
      <c r="A68" s="17"/>
      <c r="B68" s="8" t="s">
        <v>196</v>
      </c>
      <c r="C68" s="30" t="s">
        <v>197</v>
      </c>
      <c r="D68" s="8" t="s">
        <v>198</v>
      </c>
      <c r="E68" s="17"/>
      <c r="F68" s="17"/>
      <c r="G68" s="17"/>
      <c r="H68" s="34" t="n">
        <f aca="false">Параметри!$B$55/(1+Параметри!$B$54)/Параметри!$B$29</f>
        <v>0.12994727853271</v>
      </c>
      <c r="I68" s="17"/>
    </row>
    <row r="69" customFormat="false" ht="15" hidden="false" customHeight="false" outlineLevel="0" collapsed="false">
      <c r="A69" s="17"/>
      <c r="B69" s="8" t="s">
        <v>199</v>
      </c>
      <c r="C69" s="30" t="s">
        <v>200</v>
      </c>
      <c r="D69" s="8" t="s">
        <v>201</v>
      </c>
      <c r="E69" s="17"/>
      <c r="F69" s="17"/>
      <c r="G69" s="17"/>
      <c r="H69" s="14" t="n">
        <f aca="false">H66*1000*H68</f>
        <v>11114.6766169154</v>
      </c>
      <c r="I69" s="17"/>
    </row>
    <row r="70" customFormat="false" ht="15" hidden="false" customHeight="false" outlineLevel="0" collapsed="false">
      <c r="A70" s="17"/>
      <c r="B70" s="8" t="s">
        <v>202</v>
      </c>
      <c r="C70" s="30" t="s">
        <v>203</v>
      </c>
      <c r="D70" s="8" t="s">
        <v>204</v>
      </c>
      <c r="E70" s="17"/>
      <c r="F70" s="17"/>
      <c r="G70" s="17"/>
      <c r="H70" s="35" t="n">
        <f aca="false">H54/H69</f>
        <v>3.95305619133419</v>
      </c>
      <c r="I70" s="17"/>
    </row>
    <row r="71" customFormat="false" ht="15" hidden="false" customHeight="false" outlineLevel="0" collapsed="false">
      <c r="A71" s="17"/>
      <c r="B71" s="8" t="s">
        <v>205</v>
      </c>
      <c r="C71" s="30" t="s">
        <v>206</v>
      </c>
      <c r="D71" s="8" t="s">
        <v>201</v>
      </c>
      <c r="E71" s="17"/>
      <c r="F71" s="17"/>
      <c r="G71" s="17"/>
      <c r="H71" s="14" t="n">
        <f aca="false">H54/H66</f>
        <v>513.688893950756</v>
      </c>
      <c r="I71" s="17"/>
    </row>
    <row r="73" customFormat="false" ht="25.5" hidden="false" customHeight="true" outlineLevel="0" collapsed="false">
      <c r="B73" s="36" t="s">
        <v>207</v>
      </c>
      <c r="C73" s="36"/>
      <c r="D73" s="36"/>
      <c r="E73" s="36"/>
      <c r="F73" s="36"/>
      <c r="G73" s="36"/>
      <c r="H73" s="36"/>
      <c r="I73" s="36"/>
    </row>
    <row r="74" customFormat="false" ht="25.5" hidden="false" customHeight="true" outlineLevel="0" collapsed="false">
      <c r="B74" s="37" t="s">
        <v>208</v>
      </c>
      <c r="C74" s="37"/>
      <c r="D74" s="37"/>
      <c r="E74" s="37"/>
      <c r="F74" s="37"/>
      <c r="G74" s="37"/>
      <c r="H74" s="37"/>
      <c r="I74" s="37"/>
    </row>
    <row r="75" customFormat="false" ht="25.5" hidden="false" customHeight="true" outlineLevel="0" collapsed="false">
      <c r="B75" s="36" t="s">
        <v>209</v>
      </c>
      <c r="C75" s="36"/>
      <c r="D75" s="36"/>
      <c r="E75" s="36"/>
      <c r="F75" s="36"/>
      <c r="G75" s="36"/>
      <c r="H75" s="36"/>
      <c r="I75" s="36"/>
    </row>
    <row r="76" customFormat="false" ht="25.5" hidden="false" customHeight="true" outlineLevel="0" collapsed="false">
      <c r="B76" s="37" t="s">
        <v>210</v>
      </c>
      <c r="C76" s="37"/>
      <c r="D76" s="37"/>
      <c r="E76" s="37"/>
      <c r="F76" s="37"/>
      <c r="G76" s="37"/>
      <c r="H76" s="37"/>
      <c r="I76" s="37"/>
    </row>
    <row r="77" customFormat="false" ht="25.5" hidden="false" customHeight="true" outlineLevel="0" collapsed="false">
      <c r="B77" s="36" t="s">
        <v>211</v>
      </c>
      <c r="C77" s="36"/>
      <c r="D77" s="36"/>
      <c r="E77" s="36"/>
      <c r="F77" s="36"/>
      <c r="G77" s="36"/>
      <c r="H77" s="36"/>
      <c r="I77" s="36"/>
    </row>
    <row r="78" customFormat="false" ht="25.5" hidden="false" customHeight="true" outlineLevel="0" collapsed="false">
      <c r="B78" s="37" t="s">
        <v>212</v>
      </c>
      <c r="C78" s="37"/>
      <c r="D78" s="37"/>
      <c r="E78" s="37"/>
      <c r="F78" s="37"/>
      <c r="G78" s="37"/>
      <c r="H78" s="37"/>
      <c r="I78" s="37"/>
    </row>
    <row r="79" customFormat="false" ht="25.5" hidden="false" customHeight="true" outlineLevel="0" collapsed="false">
      <c r="B79" s="36" t="s">
        <v>213</v>
      </c>
      <c r="C79" s="36"/>
      <c r="D79" s="36"/>
      <c r="E79" s="36"/>
      <c r="F79" s="36"/>
      <c r="G79" s="36"/>
      <c r="H79" s="36"/>
      <c r="I79" s="36"/>
    </row>
    <row r="80" customFormat="false" ht="25.5" hidden="false" customHeight="true" outlineLevel="0" collapsed="false">
      <c r="B80" s="37" t="s">
        <v>214</v>
      </c>
      <c r="C80" s="37"/>
      <c r="D80" s="37"/>
      <c r="E80" s="37"/>
      <c r="F80" s="37"/>
      <c r="G80" s="37"/>
      <c r="H80" s="37"/>
      <c r="I80" s="37"/>
    </row>
    <row r="81" customFormat="false" ht="25.5" hidden="false" customHeight="true" outlineLevel="0" collapsed="false">
      <c r="B81" s="36" t="s">
        <v>215</v>
      </c>
      <c r="C81" s="36"/>
      <c r="D81" s="36"/>
      <c r="E81" s="36"/>
      <c r="F81" s="36"/>
      <c r="G81" s="36"/>
      <c r="H81" s="36"/>
      <c r="I81" s="36"/>
    </row>
    <row r="82" customFormat="false" ht="25.5" hidden="false" customHeight="true" outlineLevel="0" collapsed="false">
      <c r="B82" s="37" t="s">
        <v>216</v>
      </c>
      <c r="C82" s="37"/>
      <c r="D82" s="37"/>
      <c r="E82" s="37"/>
      <c r="F82" s="37"/>
      <c r="G82" s="37"/>
      <c r="H82" s="37"/>
      <c r="I82" s="37"/>
    </row>
  </sheetData>
  <mergeCells count="10">
    <mergeCell ref="B73:I73"/>
    <mergeCell ref="B74:I74"/>
    <mergeCell ref="B75:I75"/>
    <mergeCell ref="B76:I76"/>
    <mergeCell ref="B77:I77"/>
    <mergeCell ref="B78:I78"/>
    <mergeCell ref="B79:I79"/>
    <mergeCell ref="B80:I80"/>
    <mergeCell ref="B81:I81"/>
    <mergeCell ref="B82:I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3" t="s">
        <v>218</v>
      </c>
    </row>
    <row r="4" customFormat="false" ht="27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219</v>
      </c>
      <c r="G4" s="4" t="s">
        <v>220</v>
      </c>
    </row>
    <row r="5" customFormat="false" ht="15" hidden="false" customHeight="false" outlineLevel="0" collapsed="false">
      <c r="A5" s="5" t="s">
        <v>221</v>
      </c>
      <c r="B5" s="6"/>
      <c r="C5" s="7" t="s">
        <v>222</v>
      </c>
      <c r="D5" s="6"/>
      <c r="E5" s="6"/>
      <c r="F5" s="6"/>
      <c r="G5" s="6"/>
    </row>
    <row r="6" customFormat="false" ht="22.35" hidden="false" customHeight="false" outlineLevel="0" collapsed="false">
      <c r="A6" s="17" t="s">
        <v>223</v>
      </c>
      <c r="B6" s="9" t="s">
        <v>224</v>
      </c>
      <c r="C6" s="10" t="s">
        <v>225</v>
      </c>
      <c r="D6" s="17" t="s">
        <v>17</v>
      </c>
      <c r="E6" s="24" t="n">
        <v>135</v>
      </c>
      <c r="F6" s="38" t="s">
        <v>14</v>
      </c>
      <c r="G6" s="15" t="s">
        <v>226</v>
      </c>
    </row>
    <row r="7" customFormat="false" ht="15" hidden="false" customHeight="false" outlineLevel="0" collapsed="false">
      <c r="A7" s="5" t="s">
        <v>227</v>
      </c>
      <c r="B7" s="6"/>
      <c r="C7" s="7" t="s">
        <v>228</v>
      </c>
      <c r="D7" s="6"/>
      <c r="E7" s="6"/>
      <c r="F7" s="6"/>
      <c r="G7" s="6"/>
    </row>
    <row r="8" customFormat="false" ht="22.35" hidden="false" customHeight="false" outlineLevel="0" collapsed="false">
      <c r="A8" s="17" t="s">
        <v>229</v>
      </c>
      <c r="B8" s="9" t="s">
        <v>230</v>
      </c>
      <c r="C8" s="10" t="s">
        <v>231</v>
      </c>
      <c r="D8" s="17" t="s">
        <v>17</v>
      </c>
      <c r="E8" s="24" t="n">
        <v>37</v>
      </c>
      <c r="F8" s="38" t="s">
        <v>19</v>
      </c>
      <c r="G8" s="15" t="s">
        <v>232</v>
      </c>
    </row>
    <row r="9" customFormat="false" ht="15" hidden="false" customHeight="false" outlineLevel="0" collapsed="false">
      <c r="A9" s="17" t="s">
        <v>233</v>
      </c>
      <c r="B9" s="9" t="s">
        <v>234</v>
      </c>
      <c r="C9" s="10" t="s">
        <v>235</v>
      </c>
      <c r="D9" s="17" t="s">
        <v>17</v>
      </c>
      <c r="E9" s="24" t="n">
        <v>37</v>
      </c>
      <c r="F9" s="38" t="s">
        <v>19</v>
      </c>
      <c r="G9" s="15" t="s">
        <v>236</v>
      </c>
    </row>
    <row r="10" customFormat="false" ht="22.35" hidden="false" customHeight="false" outlineLevel="0" collapsed="false">
      <c r="A10" s="17" t="s">
        <v>237</v>
      </c>
      <c r="B10" s="9" t="s">
        <v>238</v>
      </c>
      <c r="C10" s="10" t="s">
        <v>239</v>
      </c>
      <c r="D10" s="17" t="s">
        <v>17</v>
      </c>
      <c r="E10" s="24" t="n">
        <v>62</v>
      </c>
      <c r="F10" s="38" t="s">
        <v>19</v>
      </c>
      <c r="G10" s="15" t="s">
        <v>240</v>
      </c>
    </row>
    <row r="11" customFormat="false" ht="22.35" hidden="false" customHeight="false" outlineLevel="0" collapsed="false">
      <c r="A11" s="17" t="s">
        <v>241</v>
      </c>
      <c r="B11" s="9" t="s">
        <v>242</v>
      </c>
      <c r="C11" s="10" t="s">
        <v>243</v>
      </c>
      <c r="D11" s="17" t="s">
        <v>97</v>
      </c>
      <c r="E11" s="24" t="n">
        <v>126</v>
      </c>
      <c r="F11" s="38" t="s">
        <v>19</v>
      </c>
      <c r="G11" s="15" t="s">
        <v>244</v>
      </c>
    </row>
    <row r="12" customFormat="false" ht="19.4" hidden="false" customHeight="false" outlineLevel="0" collapsed="false">
      <c r="A12" s="17" t="s">
        <v>245</v>
      </c>
      <c r="B12" s="9" t="s">
        <v>246</v>
      </c>
      <c r="C12" s="10" t="s">
        <v>247</v>
      </c>
      <c r="D12" s="17" t="s">
        <v>17</v>
      </c>
      <c r="E12" s="24" t="n">
        <v>54</v>
      </c>
      <c r="F12" s="38" t="s">
        <v>19</v>
      </c>
      <c r="G12" s="15" t="s">
        <v>248</v>
      </c>
    </row>
    <row r="13" customFormat="false" ht="15" hidden="false" customHeight="false" outlineLevel="0" collapsed="false">
      <c r="A13" s="17" t="s">
        <v>249</v>
      </c>
      <c r="B13" s="9" t="s">
        <v>250</v>
      </c>
      <c r="C13" s="10" t="s">
        <v>251</v>
      </c>
      <c r="D13" s="17" t="s">
        <v>17</v>
      </c>
      <c r="E13" s="24" t="n">
        <v>108</v>
      </c>
      <c r="F13" s="38" t="s">
        <v>19</v>
      </c>
      <c r="G13" s="15" t="s">
        <v>252</v>
      </c>
    </row>
    <row r="14" customFormat="false" ht="15" hidden="false" customHeight="false" outlineLevel="0" collapsed="false">
      <c r="A14" s="17" t="s">
        <v>253</v>
      </c>
      <c r="B14" s="9" t="s">
        <v>254</v>
      </c>
      <c r="C14" s="10" t="s">
        <v>255</v>
      </c>
      <c r="D14" s="17" t="s">
        <v>17</v>
      </c>
      <c r="E14" s="24" t="n">
        <v>54</v>
      </c>
      <c r="F14" s="38" t="s">
        <v>19</v>
      </c>
      <c r="G14" s="15" t="s">
        <v>256</v>
      </c>
    </row>
    <row r="15" customFormat="false" ht="15" hidden="false" customHeight="false" outlineLevel="0" collapsed="false">
      <c r="A15" s="17" t="s">
        <v>257</v>
      </c>
      <c r="B15" s="9" t="s">
        <v>258</v>
      </c>
      <c r="C15" s="10" t="s">
        <v>259</v>
      </c>
      <c r="D15" s="17" t="s">
        <v>17</v>
      </c>
      <c r="E15" s="24" t="n">
        <v>85</v>
      </c>
      <c r="F15" s="38" t="s">
        <v>19</v>
      </c>
      <c r="G15" s="15" t="s">
        <v>260</v>
      </c>
    </row>
    <row r="16" customFormat="false" ht="15" hidden="false" customHeight="false" outlineLevel="0" collapsed="false">
      <c r="A16" s="17" t="s">
        <v>261</v>
      </c>
      <c r="B16" s="9" t="s">
        <v>262</v>
      </c>
      <c r="C16" s="10" t="s">
        <v>263</v>
      </c>
      <c r="D16" s="17" t="s">
        <v>17</v>
      </c>
      <c r="E16" s="24" t="n">
        <v>169</v>
      </c>
      <c r="F16" s="38" t="s">
        <v>19</v>
      </c>
      <c r="G16" s="15" t="s">
        <v>264</v>
      </c>
    </row>
    <row r="17" customFormat="false" ht="15" hidden="false" customHeight="false" outlineLevel="0" collapsed="false">
      <c r="A17" s="17" t="s">
        <v>265</v>
      </c>
      <c r="B17" s="9" t="s">
        <v>266</v>
      </c>
      <c r="C17" s="10" t="s">
        <v>267</v>
      </c>
      <c r="D17" s="17" t="s">
        <v>97</v>
      </c>
      <c r="E17" s="24" t="n">
        <v>104</v>
      </c>
      <c r="F17" s="38" t="s">
        <v>19</v>
      </c>
      <c r="G17" s="15" t="s">
        <v>268</v>
      </c>
    </row>
    <row r="18" customFormat="false" ht="15" hidden="false" customHeight="false" outlineLevel="0" collapsed="false">
      <c r="A18" s="17" t="s">
        <v>269</v>
      </c>
      <c r="B18" s="9" t="s">
        <v>270</v>
      </c>
      <c r="C18" s="10" t="s">
        <v>271</v>
      </c>
      <c r="D18" s="17" t="s">
        <v>97</v>
      </c>
      <c r="E18" s="24" t="n">
        <v>345</v>
      </c>
      <c r="F18" s="38" t="s">
        <v>19</v>
      </c>
      <c r="G18" s="15" t="s">
        <v>272</v>
      </c>
    </row>
    <row r="19" customFormat="false" ht="22.35" hidden="false" customHeight="false" outlineLevel="0" collapsed="false">
      <c r="A19" s="17" t="s">
        <v>273</v>
      </c>
      <c r="B19" s="9" t="s">
        <v>274</v>
      </c>
      <c r="C19" s="10" t="s">
        <v>275</v>
      </c>
      <c r="D19" s="17" t="s">
        <v>17</v>
      </c>
      <c r="E19" s="24" t="n">
        <v>212</v>
      </c>
      <c r="F19" s="38" t="s">
        <v>19</v>
      </c>
      <c r="G19" s="15" t="s">
        <v>276</v>
      </c>
    </row>
    <row r="20" customFormat="false" ht="19.4" hidden="false" customHeight="false" outlineLevel="0" collapsed="false">
      <c r="A20" s="17" t="s">
        <v>277</v>
      </c>
      <c r="B20" s="9" t="s">
        <v>278</v>
      </c>
      <c r="C20" s="10" t="s">
        <v>279</v>
      </c>
      <c r="D20" s="17" t="s">
        <v>17</v>
      </c>
      <c r="E20" s="24" t="n">
        <v>280</v>
      </c>
      <c r="F20" s="38" t="s">
        <v>19</v>
      </c>
      <c r="G20" s="15" t="s">
        <v>280</v>
      </c>
    </row>
    <row r="21" customFormat="false" ht="15" hidden="false" customHeight="false" outlineLevel="0" collapsed="false">
      <c r="A21" s="17" t="s">
        <v>281</v>
      </c>
      <c r="B21" s="9" t="s">
        <v>282</v>
      </c>
      <c r="C21" s="10" t="s">
        <v>283</v>
      </c>
      <c r="D21" s="17" t="s">
        <v>97</v>
      </c>
      <c r="E21" s="24" t="n">
        <v>488</v>
      </c>
      <c r="F21" s="38" t="s">
        <v>19</v>
      </c>
      <c r="G21" s="15" t="s">
        <v>284</v>
      </c>
    </row>
    <row r="22" customFormat="false" ht="19.4" hidden="false" customHeight="false" outlineLevel="0" collapsed="false">
      <c r="A22" s="17" t="s">
        <v>285</v>
      </c>
      <c r="B22" s="9" t="s">
        <v>286</v>
      </c>
      <c r="C22" s="10" t="s">
        <v>287</v>
      </c>
      <c r="D22" s="17" t="s">
        <v>17</v>
      </c>
      <c r="E22" s="24" t="n">
        <v>10</v>
      </c>
      <c r="F22" s="38" t="s">
        <v>132</v>
      </c>
      <c r="G22" s="15" t="s">
        <v>288</v>
      </c>
    </row>
    <row r="23" customFormat="false" ht="15" hidden="false" customHeight="false" outlineLevel="0" collapsed="false">
      <c r="A23" s="5" t="s">
        <v>289</v>
      </c>
      <c r="B23" s="6"/>
      <c r="C23" s="7" t="s">
        <v>290</v>
      </c>
      <c r="D23" s="6"/>
      <c r="E23" s="6"/>
      <c r="F23" s="6"/>
      <c r="G23" s="6"/>
    </row>
    <row r="24" customFormat="false" ht="15" hidden="false" customHeight="false" outlineLevel="0" collapsed="false">
      <c r="A24" s="17" t="s">
        <v>291</v>
      </c>
      <c r="B24" s="9" t="s">
        <v>292</v>
      </c>
      <c r="C24" s="10" t="s">
        <v>293</v>
      </c>
      <c r="D24" s="17" t="s">
        <v>17</v>
      </c>
      <c r="E24" s="24" t="n">
        <v>29</v>
      </c>
      <c r="F24" s="38" t="s">
        <v>24</v>
      </c>
      <c r="G24" s="15" t="s">
        <v>294</v>
      </c>
    </row>
    <row r="25" customFormat="false" ht="15" hidden="false" customHeight="false" outlineLevel="0" collapsed="false">
      <c r="A25" s="17" t="s">
        <v>295</v>
      </c>
      <c r="B25" s="9" t="s">
        <v>296</v>
      </c>
      <c r="C25" s="10" t="s">
        <v>297</v>
      </c>
      <c r="D25" s="17" t="s">
        <v>17</v>
      </c>
      <c r="E25" s="24" t="n">
        <v>58</v>
      </c>
      <c r="F25" s="38" t="s">
        <v>24</v>
      </c>
      <c r="G25" s="15" t="s">
        <v>298</v>
      </c>
    </row>
    <row r="26" customFormat="false" ht="15" hidden="false" customHeight="false" outlineLevel="0" collapsed="false">
      <c r="A26" s="17" t="s">
        <v>299</v>
      </c>
      <c r="B26" s="9" t="s">
        <v>300</v>
      </c>
      <c r="C26" s="10" t="s">
        <v>301</v>
      </c>
      <c r="D26" s="17" t="s">
        <v>17</v>
      </c>
      <c r="E26" s="24" t="n">
        <v>29</v>
      </c>
      <c r="F26" s="38" t="s">
        <v>24</v>
      </c>
      <c r="G26" s="15" t="s">
        <v>302</v>
      </c>
    </row>
    <row r="27" customFormat="false" ht="15" hidden="false" customHeight="false" outlineLevel="0" collapsed="false">
      <c r="A27" s="17" t="s">
        <v>303</v>
      </c>
      <c r="B27" s="9" t="s">
        <v>304</v>
      </c>
      <c r="C27" s="10" t="s">
        <v>305</v>
      </c>
      <c r="D27" s="17" t="s">
        <v>17</v>
      </c>
      <c r="E27" s="24" t="n">
        <v>29</v>
      </c>
      <c r="F27" s="38" t="s">
        <v>24</v>
      </c>
      <c r="G27" s="15" t="s">
        <v>302</v>
      </c>
    </row>
    <row r="28" customFormat="false" ht="22.35" hidden="false" customHeight="false" outlineLevel="0" collapsed="false">
      <c r="A28" s="17" t="s">
        <v>306</v>
      </c>
      <c r="B28" s="9" t="s">
        <v>307</v>
      </c>
      <c r="C28" s="10" t="s">
        <v>308</v>
      </c>
      <c r="D28" s="17" t="s">
        <v>97</v>
      </c>
      <c r="E28" s="24" t="n">
        <v>147</v>
      </c>
      <c r="F28" s="38" t="s">
        <v>24</v>
      </c>
      <c r="G28" s="15" t="s">
        <v>309</v>
      </c>
    </row>
    <row r="29" customFormat="false" ht="15" hidden="false" customHeight="false" outlineLevel="0" collapsed="false">
      <c r="A29" s="17" t="s">
        <v>310</v>
      </c>
      <c r="B29" s="9" t="s">
        <v>311</v>
      </c>
      <c r="C29" s="10" t="s">
        <v>312</v>
      </c>
      <c r="D29" s="17" t="s">
        <v>17</v>
      </c>
      <c r="E29" s="24" t="n">
        <v>10</v>
      </c>
      <c r="F29" s="38" t="s">
        <v>24</v>
      </c>
      <c r="G29" s="15" t="s">
        <v>313</v>
      </c>
    </row>
    <row r="30" customFormat="false" ht="15" hidden="false" customHeight="false" outlineLevel="0" collapsed="false">
      <c r="A30" s="17" t="s">
        <v>314</v>
      </c>
      <c r="B30" s="9" t="s">
        <v>315</v>
      </c>
      <c r="C30" s="10" t="s">
        <v>316</v>
      </c>
      <c r="D30" s="17" t="s">
        <v>17</v>
      </c>
      <c r="E30" s="24" t="n">
        <v>118</v>
      </c>
      <c r="F30" s="38" t="s">
        <v>24</v>
      </c>
      <c r="G30" s="15" t="s">
        <v>317</v>
      </c>
    </row>
    <row r="31" customFormat="false" ht="15" hidden="false" customHeight="false" outlineLevel="0" collapsed="false">
      <c r="A31" s="17" t="s">
        <v>318</v>
      </c>
      <c r="B31" s="9" t="s">
        <v>319</v>
      </c>
      <c r="C31" s="10" t="s">
        <v>320</v>
      </c>
      <c r="D31" s="17" t="s">
        <v>97</v>
      </c>
      <c r="E31" s="24" t="n">
        <v>118</v>
      </c>
      <c r="F31" s="38" t="s">
        <v>24</v>
      </c>
      <c r="G31" s="15" t="s">
        <v>321</v>
      </c>
    </row>
    <row r="32" customFormat="false" ht="15" hidden="false" customHeight="false" outlineLevel="0" collapsed="false">
      <c r="A32" s="17" t="s">
        <v>322</v>
      </c>
      <c r="B32" s="9" t="s">
        <v>323</v>
      </c>
      <c r="C32" s="10" t="s">
        <v>324</v>
      </c>
      <c r="D32" s="17" t="s">
        <v>17</v>
      </c>
      <c r="E32" s="24" t="n">
        <v>19</v>
      </c>
      <c r="F32" s="38" t="s">
        <v>24</v>
      </c>
      <c r="G32" s="15" t="s">
        <v>325</v>
      </c>
    </row>
    <row r="33" customFormat="false" ht="15" hidden="false" customHeight="false" outlineLevel="0" collapsed="false">
      <c r="A33" s="17" t="s">
        <v>326</v>
      </c>
      <c r="B33" s="9" t="s">
        <v>327</v>
      </c>
      <c r="C33" s="10" t="s">
        <v>328</v>
      </c>
      <c r="D33" s="17" t="s">
        <v>17</v>
      </c>
      <c r="E33" s="24" t="n">
        <v>19</v>
      </c>
      <c r="F33" s="38" t="s">
        <v>24</v>
      </c>
      <c r="G33" s="15" t="s">
        <v>329</v>
      </c>
    </row>
    <row r="34" customFormat="false" ht="15" hidden="false" customHeight="false" outlineLevel="0" collapsed="false">
      <c r="A34" s="17" t="s">
        <v>330</v>
      </c>
      <c r="B34" s="9" t="s">
        <v>331</v>
      </c>
      <c r="C34" s="10" t="s">
        <v>332</v>
      </c>
      <c r="D34" s="17" t="s">
        <v>17</v>
      </c>
      <c r="E34" s="24" t="n">
        <v>19</v>
      </c>
      <c r="F34" s="38" t="s">
        <v>24</v>
      </c>
      <c r="G34" s="15" t="s">
        <v>329</v>
      </c>
    </row>
    <row r="35" customFormat="false" ht="15" hidden="false" customHeight="false" outlineLevel="0" collapsed="false">
      <c r="A35" s="17" t="s">
        <v>333</v>
      </c>
      <c r="B35" s="9" t="s">
        <v>334</v>
      </c>
      <c r="C35" s="10" t="s">
        <v>335</v>
      </c>
      <c r="D35" s="17" t="s">
        <v>17</v>
      </c>
      <c r="E35" s="24" t="n">
        <v>19</v>
      </c>
      <c r="F35" s="38" t="s">
        <v>24</v>
      </c>
      <c r="G35" s="15" t="s">
        <v>329</v>
      </c>
    </row>
    <row r="36" customFormat="false" ht="15" hidden="false" customHeight="false" outlineLevel="0" collapsed="false">
      <c r="A36" s="17" t="s">
        <v>336</v>
      </c>
      <c r="B36" s="9" t="s">
        <v>337</v>
      </c>
      <c r="C36" s="10" t="s">
        <v>338</v>
      </c>
      <c r="D36" s="17" t="s">
        <v>97</v>
      </c>
      <c r="E36" s="24" t="n">
        <v>114</v>
      </c>
      <c r="F36" s="38" t="s">
        <v>24</v>
      </c>
      <c r="G36" s="15" t="s">
        <v>339</v>
      </c>
    </row>
    <row r="37" customFormat="false" ht="19.4" hidden="false" customHeight="false" outlineLevel="0" collapsed="false">
      <c r="A37" s="17" t="s">
        <v>340</v>
      </c>
      <c r="B37" s="9" t="s">
        <v>311</v>
      </c>
      <c r="C37" s="10" t="s">
        <v>312</v>
      </c>
      <c r="D37" s="17" t="s">
        <v>17</v>
      </c>
      <c r="E37" s="24" t="n">
        <v>8</v>
      </c>
      <c r="F37" s="38" t="s">
        <v>24</v>
      </c>
      <c r="G37" s="15" t="s">
        <v>341</v>
      </c>
    </row>
    <row r="38" customFormat="false" ht="15" hidden="false" customHeight="false" outlineLevel="0" collapsed="false">
      <c r="A38" s="17" t="s">
        <v>342</v>
      </c>
      <c r="B38" s="9" t="s">
        <v>315</v>
      </c>
      <c r="C38" s="10" t="s">
        <v>316</v>
      </c>
      <c r="D38" s="17" t="s">
        <v>17</v>
      </c>
      <c r="E38" s="24" t="n">
        <v>38</v>
      </c>
      <c r="F38" s="38" t="s">
        <v>24</v>
      </c>
      <c r="G38" s="15" t="s">
        <v>343</v>
      </c>
    </row>
    <row r="39" customFormat="false" ht="15" hidden="false" customHeight="false" outlineLevel="0" collapsed="false">
      <c r="A39" s="17" t="s">
        <v>344</v>
      </c>
      <c r="B39" s="9" t="s">
        <v>319</v>
      </c>
      <c r="C39" s="10" t="s">
        <v>320</v>
      </c>
      <c r="D39" s="17" t="s">
        <v>97</v>
      </c>
      <c r="E39" s="24" t="n">
        <v>38</v>
      </c>
      <c r="F39" s="38" t="s">
        <v>24</v>
      </c>
      <c r="G39" s="15" t="s">
        <v>345</v>
      </c>
    </row>
    <row r="40" customFormat="false" ht="15" hidden="false" customHeight="false" outlineLevel="0" collapsed="false">
      <c r="A40" s="5" t="s">
        <v>346</v>
      </c>
      <c r="B40" s="6"/>
      <c r="C40" s="7" t="s">
        <v>347</v>
      </c>
      <c r="D40" s="6"/>
      <c r="E40" s="6"/>
      <c r="F40" s="6"/>
      <c r="G40" s="6"/>
    </row>
    <row r="41" customFormat="false" ht="19.4" hidden="false" customHeight="false" outlineLevel="0" collapsed="false">
      <c r="A41" s="17" t="s">
        <v>348</v>
      </c>
      <c r="B41" s="9" t="s">
        <v>349</v>
      </c>
      <c r="C41" s="10" t="s">
        <v>350</v>
      </c>
      <c r="D41" s="17" t="s">
        <v>48</v>
      </c>
      <c r="E41" s="24" t="n">
        <v>25.2</v>
      </c>
      <c r="F41" s="38" t="s">
        <v>28</v>
      </c>
      <c r="G41" s="15" t="s">
        <v>351</v>
      </c>
    </row>
    <row r="42" customFormat="false" ht="22.35" hidden="false" customHeight="false" outlineLevel="0" collapsed="false">
      <c r="A42" s="17" t="s">
        <v>352</v>
      </c>
      <c r="B42" s="9" t="s">
        <v>353</v>
      </c>
      <c r="C42" s="10" t="s">
        <v>354</v>
      </c>
      <c r="D42" s="17" t="s">
        <v>97</v>
      </c>
      <c r="E42" s="24" t="n">
        <v>30</v>
      </c>
      <c r="F42" s="38" t="s">
        <v>28</v>
      </c>
      <c r="G42" s="15" t="s">
        <v>355</v>
      </c>
    </row>
    <row r="43" customFormat="false" ht="22.35" hidden="false" customHeight="false" outlineLevel="0" collapsed="false">
      <c r="A43" s="17" t="s">
        <v>356</v>
      </c>
      <c r="B43" s="9" t="s">
        <v>357</v>
      </c>
      <c r="C43" s="10" t="s">
        <v>358</v>
      </c>
      <c r="D43" s="17" t="s">
        <v>17</v>
      </c>
      <c r="E43" s="24" t="n">
        <v>17</v>
      </c>
      <c r="F43" s="38" t="s">
        <v>28</v>
      </c>
      <c r="G43" s="15" t="s">
        <v>359</v>
      </c>
    </row>
    <row r="44" customFormat="false" ht="15" hidden="false" customHeight="false" outlineLevel="0" collapsed="false">
      <c r="A44" s="17" t="s">
        <v>360</v>
      </c>
      <c r="B44" s="9" t="s">
        <v>361</v>
      </c>
      <c r="C44" s="10" t="s">
        <v>362</v>
      </c>
      <c r="D44" s="17" t="s">
        <v>17</v>
      </c>
      <c r="E44" s="24" t="n">
        <v>11</v>
      </c>
      <c r="F44" s="38" t="s">
        <v>28</v>
      </c>
      <c r="G44" s="15" t="s">
        <v>363</v>
      </c>
    </row>
    <row r="45" customFormat="false" ht="15" hidden="false" customHeight="false" outlineLevel="0" collapsed="false">
      <c r="A45" s="17" t="s">
        <v>364</v>
      </c>
      <c r="B45" s="9" t="s">
        <v>365</v>
      </c>
      <c r="C45" s="10" t="s">
        <v>366</v>
      </c>
      <c r="D45" s="17" t="s">
        <v>17</v>
      </c>
      <c r="E45" s="24" t="n">
        <v>9</v>
      </c>
      <c r="F45" s="38" t="s">
        <v>28</v>
      </c>
      <c r="G45" s="15" t="s">
        <v>367</v>
      </c>
    </row>
    <row r="46" customFormat="false" ht="22.35" hidden="false" customHeight="false" outlineLevel="0" collapsed="false">
      <c r="A46" s="17" t="s">
        <v>368</v>
      </c>
      <c r="B46" s="9" t="s">
        <v>369</v>
      </c>
      <c r="C46" s="10" t="s">
        <v>370</v>
      </c>
      <c r="D46" s="17" t="s">
        <v>97</v>
      </c>
      <c r="E46" s="24" t="n">
        <v>9</v>
      </c>
      <c r="F46" s="38" t="s">
        <v>28</v>
      </c>
      <c r="G46" s="15" t="s">
        <v>371</v>
      </c>
    </row>
    <row r="47" customFormat="false" ht="15" hidden="false" customHeight="false" outlineLevel="0" collapsed="false">
      <c r="A47" s="5" t="s">
        <v>372</v>
      </c>
      <c r="B47" s="6"/>
      <c r="C47" s="7" t="s">
        <v>373</v>
      </c>
      <c r="D47" s="6"/>
      <c r="E47" s="6"/>
      <c r="F47" s="6"/>
      <c r="G47" s="6"/>
    </row>
    <row r="48" customFormat="false" ht="15" hidden="false" customHeight="false" outlineLevel="0" collapsed="false">
      <c r="A48" s="17" t="s">
        <v>374</v>
      </c>
      <c r="B48" s="9" t="s">
        <v>375</v>
      </c>
      <c r="C48" s="10" t="s">
        <v>376</v>
      </c>
      <c r="D48" s="17" t="s">
        <v>48</v>
      </c>
      <c r="E48" s="24" t="n">
        <v>430</v>
      </c>
      <c r="F48" s="38" t="s">
        <v>32</v>
      </c>
      <c r="G48" s="15" t="s">
        <v>377</v>
      </c>
    </row>
    <row r="49" customFormat="false" ht="19.4" hidden="false" customHeight="false" outlineLevel="0" collapsed="false">
      <c r="A49" s="17" t="s">
        <v>378</v>
      </c>
      <c r="B49" s="9" t="s">
        <v>379</v>
      </c>
      <c r="C49" s="10" t="s">
        <v>380</v>
      </c>
      <c r="D49" s="17" t="s">
        <v>48</v>
      </c>
      <c r="E49" s="24" t="n">
        <v>650</v>
      </c>
      <c r="F49" s="38" t="s">
        <v>32</v>
      </c>
      <c r="G49" s="15" t="s">
        <v>381</v>
      </c>
    </row>
    <row r="50" customFormat="false" ht="19.4" hidden="false" customHeight="false" outlineLevel="0" collapsed="false">
      <c r="A50" s="17" t="s">
        <v>382</v>
      </c>
      <c r="B50" s="9" t="s">
        <v>383</v>
      </c>
      <c r="C50" s="10" t="s">
        <v>384</v>
      </c>
      <c r="D50" s="17" t="s">
        <v>385</v>
      </c>
      <c r="E50" s="24" t="n">
        <v>103</v>
      </c>
      <c r="F50" s="38" t="s">
        <v>32</v>
      </c>
      <c r="G50" s="15" t="s">
        <v>386</v>
      </c>
    </row>
    <row r="51" customFormat="false" ht="22.35" hidden="false" customHeight="false" outlineLevel="0" collapsed="false">
      <c r="A51" s="17" t="s">
        <v>387</v>
      </c>
      <c r="B51" s="9" t="s">
        <v>388</v>
      </c>
      <c r="C51" s="10" t="s">
        <v>389</v>
      </c>
      <c r="D51" s="17" t="s">
        <v>48</v>
      </c>
      <c r="E51" s="24" t="n">
        <v>40</v>
      </c>
      <c r="F51" s="38" t="s">
        <v>32</v>
      </c>
      <c r="G51" s="15" t="s">
        <v>390</v>
      </c>
    </row>
    <row r="52" customFormat="false" ht="15" hidden="false" customHeight="false" outlineLevel="0" collapsed="false">
      <c r="A52" s="17" t="s">
        <v>391</v>
      </c>
      <c r="B52" s="9" t="s">
        <v>392</v>
      </c>
      <c r="C52" s="10" t="s">
        <v>393</v>
      </c>
      <c r="D52" s="17" t="s">
        <v>17</v>
      </c>
      <c r="E52" s="24" t="n">
        <v>42</v>
      </c>
      <c r="F52" s="38" t="s">
        <v>32</v>
      </c>
      <c r="G52" s="15" t="s">
        <v>394</v>
      </c>
    </row>
    <row r="53" customFormat="false" ht="15" hidden="false" customHeight="false" outlineLevel="0" collapsed="false">
      <c r="A53" s="17" t="s">
        <v>395</v>
      </c>
      <c r="B53" s="9" t="s">
        <v>396</v>
      </c>
      <c r="C53" s="10" t="s">
        <v>397</v>
      </c>
      <c r="D53" s="17" t="s">
        <v>398</v>
      </c>
      <c r="E53" s="24" t="n">
        <v>9</v>
      </c>
      <c r="F53" s="38" t="s">
        <v>32</v>
      </c>
      <c r="G53" s="15" t="s">
        <v>399</v>
      </c>
    </row>
    <row r="54" customFormat="false" ht="15" hidden="false" customHeight="false" outlineLevel="0" collapsed="false">
      <c r="A54" s="17" t="s">
        <v>400</v>
      </c>
      <c r="B54" s="9" t="s">
        <v>401</v>
      </c>
      <c r="C54" s="10" t="s">
        <v>402</v>
      </c>
      <c r="D54" s="17" t="s">
        <v>17</v>
      </c>
      <c r="E54" s="24" t="n">
        <v>50</v>
      </c>
      <c r="F54" s="38" t="s">
        <v>32</v>
      </c>
      <c r="G54" s="15" t="s">
        <v>403</v>
      </c>
    </row>
    <row r="55" customFormat="false" ht="15" hidden="false" customHeight="false" outlineLevel="0" collapsed="false">
      <c r="A55" s="5" t="s">
        <v>404</v>
      </c>
      <c r="B55" s="6"/>
      <c r="C55" s="7" t="s">
        <v>405</v>
      </c>
      <c r="D55" s="6"/>
      <c r="E55" s="6"/>
      <c r="F55" s="6"/>
      <c r="G55" s="6"/>
    </row>
    <row r="56" customFormat="false" ht="15" hidden="false" customHeight="false" outlineLevel="0" collapsed="false">
      <c r="A56" s="17" t="s">
        <v>406</v>
      </c>
      <c r="B56" s="9" t="s">
        <v>407</v>
      </c>
      <c r="C56" s="10" t="s">
        <v>408</v>
      </c>
      <c r="D56" s="17" t="s">
        <v>48</v>
      </c>
      <c r="E56" s="24" t="n">
        <v>117</v>
      </c>
      <c r="F56" s="38" t="s">
        <v>37</v>
      </c>
      <c r="G56" s="15" t="s">
        <v>409</v>
      </c>
    </row>
    <row r="57" customFormat="false" ht="15" hidden="false" customHeight="false" outlineLevel="0" collapsed="false">
      <c r="A57" s="17" t="s">
        <v>410</v>
      </c>
      <c r="B57" s="9" t="s">
        <v>411</v>
      </c>
      <c r="C57" s="10" t="s">
        <v>412</v>
      </c>
      <c r="D57" s="17" t="s">
        <v>17</v>
      </c>
      <c r="E57" s="24" t="n">
        <v>8</v>
      </c>
      <c r="F57" s="38" t="s">
        <v>37</v>
      </c>
      <c r="G57" s="15" t="s">
        <v>413</v>
      </c>
    </row>
    <row r="58" customFormat="false" ht="15" hidden="false" customHeight="false" outlineLevel="0" collapsed="false">
      <c r="A58" s="17" t="s">
        <v>414</v>
      </c>
      <c r="B58" s="9" t="s">
        <v>415</v>
      </c>
      <c r="C58" s="10" t="s">
        <v>416</v>
      </c>
      <c r="D58" s="17" t="s">
        <v>17</v>
      </c>
      <c r="E58" s="24" t="n">
        <v>10</v>
      </c>
      <c r="F58" s="38" t="s">
        <v>37</v>
      </c>
      <c r="G58" s="15" t="s">
        <v>413</v>
      </c>
    </row>
    <row r="59" customFormat="false" ht="15" hidden="false" customHeight="false" outlineLevel="0" collapsed="false">
      <c r="A59" s="17" t="s">
        <v>417</v>
      </c>
      <c r="B59" s="9" t="s">
        <v>418</v>
      </c>
      <c r="C59" s="10" t="s">
        <v>419</v>
      </c>
      <c r="D59" s="17" t="s">
        <v>17</v>
      </c>
      <c r="E59" s="24" t="n">
        <v>7</v>
      </c>
      <c r="F59" s="38" t="s">
        <v>37</v>
      </c>
      <c r="G59" s="15" t="s">
        <v>420</v>
      </c>
    </row>
    <row r="60" customFormat="false" ht="15" hidden="false" customHeight="false" outlineLevel="0" collapsed="false">
      <c r="A60" s="17" t="s">
        <v>421</v>
      </c>
      <c r="B60" s="9" t="s">
        <v>422</v>
      </c>
      <c r="C60" s="10" t="s">
        <v>423</v>
      </c>
      <c r="D60" s="17" t="s">
        <v>17</v>
      </c>
      <c r="E60" s="24" t="n">
        <v>6</v>
      </c>
      <c r="F60" s="38" t="s">
        <v>37</v>
      </c>
      <c r="G60" s="15" t="s">
        <v>424</v>
      </c>
    </row>
    <row r="61" customFormat="false" ht="15" hidden="false" customHeight="false" outlineLevel="0" collapsed="false">
      <c r="A61" s="17" t="s">
        <v>425</v>
      </c>
      <c r="B61" s="9" t="s">
        <v>426</v>
      </c>
      <c r="C61" s="10" t="s">
        <v>427</v>
      </c>
      <c r="D61" s="17" t="s">
        <v>17</v>
      </c>
      <c r="E61" s="24" t="n">
        <v>39</v>
      </c>
      <c r="F61" s="38" t="s">
        <v>37</v>
      </c>
      <c r="G61" s="15" t="s">
        <v>428</v>
      </c>
    </row>
    <row r="62" customFormat="false" ht="15" hidden="false" customHeight="false" outlineLevel="0" collapsed="false">
      <c r="A62" s="17" t="s">
        <v>429</v>
      </c>
      <c r="B62" s="9" t="s">
        <v>430</v>
      </c>
      <c r="C62" s="10" t="s">
        <v>431</v>
      </c>
      <c r="D62" s="17" t="s">
        <v>17</v>
      </c>
      <c r="E62" s="24" t="n">
        <v>103</v>
      </c>
      <c r="F62" s="38" t="s">
        <v>37</v>
      </c>
      <c r="G62" s="15" t="s">
        <v>432</v>
      </c>
    </row>
    <row r="63" customFormat="false" ht="15" hidden="false" customHeight="false" outlineLevel="0" collapsed="false">
      <c r="A63" s="17" t="s">
        <v>433</v>
      </c>
      <c r="B63" s="9" t="s">
        <v>434</v>
      </c>
      <c r="C63" s="10" t="s">
        <v>435</v>
      </c>
      <c r="D63" s="17" t="s">
        <v>17</v>
      </c>
      <c r="E63" s="24" t="n">
        <v>65</v>
      </c>
      <c r="F63" s="38" t="s">
        <v>37</v>
      </c>
      <c r="G63" s="15" t="s">
        <v>436</v>
      </c>
    </row>
    <row r="64" customFormat="false" ht="15" hidden="false" customHeight="false" outlineLevel="0" collapsed="false">
      <c r="A64" s="17" t="s">
        <v>437</v>
      </c>
      <c r="B64" s="9" t="s">
        <v>438</v>
      </c>
      <c r="C64" s="10" t="s">
        <v>439</v>
      </c>
      <c r="D64" s="17" t="s">
        <v>97</v>
      </c>
      <c r="E64" s="24" t="n">
        <v>65</v>
      </c>
      <c r="F64" s="38" t="s">
        <v>37</v>
      </c>
      <c r="G64" s="15" t="s">
        <v>302</v>
      </c>
    </row>
    <row r="65" customFormat="false" ht="15" hidden="false" customHeight="false" outlineLevel="0" collapsed="false">
      <c r="A65" s="17" t="s">
        <v>440</v>
      </c>
      <c r="B65" s="9" t="s">
        <v>441</v>
      </c>
      <c r="C65" s="10" t="s">
        <v>442</v>
      </c>
      <c r="D65" s="17" t="s">
        <v>97</v>
      </c>
      <c r="E65" s="24" t="n">
        <v>130</v>
      </c>
      <c r="F65" s="38" t="s">
        <v>37</v>
      </c>
      <c r="G65" s="15" t="s">
        <v>298</v>
      </c>
    </row>
    <row r="66" customFormat="false" ht="15" hidden="false" customHeight="false" outlineLevel="0" collapsed="false">
      <c r="A66" s="17" t="s">
        <v>443</v>
      </c>
      <c r="B66" s="9" t="s">
        <v>444</v>
      </c>
      <c r="C66" s="10" t="s">
        <v>445</v>
      </c>
      <c r="D66" s="17" t="s">
        <v>17</v>
      </c>
      <c r="E66" s="24" t="n">
        <v>12</v>
      </c>
      <c r="F66" s="38" t="s">
        <v>37</v>
      </c>
      <c r="G66" s="15" t="s">
        <v>446</v>
      </c>
    </row>
    <row r="67" customFormat="false" ht="15" hidden="false" customHeight="false" outlineLevel="0" collapsed="false">
      <c r="A67" s="5" t="s">
        <v>447</v>
      </c>
      <c r="B67" s="6"/>
      <c r="C67" s="7" t="s">
        <v>448</v>
      </c>
      <c r="D67" s="6"/>
      <c r="E67" s="6"/>
      <c r="F67" s="6"/>
      <c r="G67" s="6"/>
    </row>
    <row r="68" customFormat="false" ht="32.8" hidden="false" customHeight="false" outlineLevel="0" collapsed="false">
      <c r="A68" s="17" t="s">
        <v>449</v>
      </c>
      <c r="B68" s="9" t="s">
        <v>450</v>
      </c>
      <c r="C68" s="10" t="s">
        <v>451</v>
      </c>
      <c r="D68" s="17" t="s">
        <v>17</v>
      </c>
      <c r="E68" s="24" t="n">
        <v>1</v>
      </c>
      <c r="F68" s="38" t="s">
        <v>82</v>
      </c>
      <c r="G68" s="15" t="s">
        <v>452</v>
      </c>
    </row>
    <row r="69" customFormat="false" ht="22.35" hidden="false" customHeight="false" outlineLevel="0" collapsed="false">
      <c r="A69" s="17" t="s">
        <v>453</v>
      </c>
      <c r="B69" s="9" t="s">
        <v>91</v>
      </c>
      <c r="C69" s="10" t="s">
        <v>92</v>
      </c>
      <c r="D69" s="17" t="s">
        <v>48</v>
      </c>
      <c r="E69" s="24" t="n">
        <v>45</v>
      </c>
      <c r="F69" s="38" t="s">
        <v>90</v>
      </c>
      <c r="G69" s="15" t="s">
        <v>454</v>
      </c>
    </row>
    <row r="70" customFormat="false" ht="15" hidden="false" customHeight="false" outlineLevel="0" collapsed="false">
      <c r="A70" s="17" t="s">
        <v>455</v>
      </c>
      <c r="B70" s="9" t="s">
        <v>456</v>
      </c>
      <c r="C70" s="10" t="s">
        <v>457</v>
      </c>
      <c r="D70" s="17" t="s">
        <v>17</v>
      </c>
      <c r="E70" s="24" t="n">
        <v>10</v>
      </c>
      <c r="F70" s="38" t="s">
        <v>148</v>
      </c>
      <c r="G70" s="15" t="s">
        <v>458</v>
      </c>
    </row>
    <row r="71" customFormat="false" ht="15" hidden="false" customHeight="false" outlineLevel="0" collapsed="false">
      <c r="A71" s="17" t="s">
        <v>459</v>
      </c>
      <c r="B71" s="9" t="s">
        <v>460</v>
      </c>
      <c r="C71" s="10" t="s">
        <v>461</v>
      </c>
      <c r="D71" s="17" t="s">
        <v>17</v>
      </c>
      <c r="E71" s="24" t="n">
        <v>1</v>
      </c>
      <c r="F71" s="38" t="s">
        <v>94</v>
      </c>
      <c r="G71" s="15" t="s">
        <v>462</v>
      </c>
    </row>
    <row r="72" customFormat="false" ht="15" hidden="false" customHeight="false" outlineLevel="0" collapsed="false">
      <c r="A72" s="17" t="s">
        <v>463</v>
      </c>
      <c r="B72" s="9" t="s">
        <v>464</v>
      </c>
      <c r="C72" s="10" t="s">
        <v>465</v>
      </c>
      <c r="D72" s="17" t="s">
        <v>17</v>
      </c>
      <c r="E72" s="24" t="n">
        <v>1</v>
      </c>
      <c r="F72" s="38" t="s">
        <v>94</v>
      </c>
      <c r="G72" s="15"/>
    </row>
    <row r="73" customFormat="false" ht="15" hidden="false" customHeight="false" outlineLevel="0" collapsed="false">
      <c r="A73" s="17" t="s">
        <v>466</v>
      </c>
      <c r="B73" s="9" t="s">
        <v>467</v>
      </c>
      <c r="C73" s="10" t="s">
        <v>468</v>
      </c>
      <c r="D73" s="17" t="s">
        <v>17</v>
      </c>
      <c r="E73" s="24" t="n">
        <v>1</v>
      </c>
      <c r="F73" s="38" t="s">
        <v>99</v>
      </c>
      <c r="G73" s="15" t="s">
        <v>469</v>
      </c>
    </row>
    <row r="74" customFormat="false" ht="22.35" hidden="false" customHeight="false" outlineLevel="0" collapsed="false">
      <c r="A74" s="17" t="s">
        <v>470</v>
      </c>
      <c r="B74" s="9" t="s">
        <v>471</v>
      </c>
      <c r="C74" s="10" t="s">
        <v>472</v>
      </c>
      <c r="D74" s="17" t="s">
        <v>97</v>
      </c>
      <c r="E74" s="24" t="n">
        <v>1</v>
      </c>
      <c r="F74" s="38" t="s">
        <v>103</v>
      </c>
      <c r="G74" s="15"/>
    </row>
    <row r="75" customFormat="false" ht="15" hidden="false" customHeight="false" outlineLevel="0" collapsed="false">
      <c r="A75" s="17" t="s">
        <v>473</v>
      </c>
      <c r="B75" s="9" t="s">
        <v>474</v>
      </c>
      <c r="C75" s="10" t="s">
        <v>475</v>
      </c>
      <c r="D75" s="17" t="s">
        <v>48</v>
      </c>
      <c r="E75" s="24" t="n">
        <v>55</v>
      </c>
      <c r="F75" s="38" t="s">
        <v>45</v>
      </c>
      <c r="G75" s="15" t="s">
        <v>476</v>
      </c>
    </row>
    <row r="76" customFormat="false" ht="15" hidden="false" customHeight="false" outlineLevel="0" collapsed="false">
      <c r="A76" s="17" t="s">
        <v>477</v>
      </c>
      <c r="B76" s="9" t="s">
        <v>478</v>
      </c>
      <c r="C76" s="10" t="s">
        <v>479</v>
      </c>
      <c r="D76" s="17" t="s">
        <v>97</v>
      </c>
      <c r="E76" s="24" t="n">
        <v>1</v>
      </c>
      <c r="F76" s="38" t="s">
        <v>148</v>
      </c>
      <c r="G76" s="15"/>
    </row>
    <row r="77" customFormat="false" ht="15" hidden="false" customHeight="false" outlineLevel="0" collapsed="false">
      <c r="A77" s="5" t="s">
        <v>480</v>
      </c>
      <c r="B77" s="6"/>
      <c r="C77" s="7" t="s">
        <v>481</v>
      </c>
      <c r="D77" s="6"/>
      <c r="E77" s="6"/>
      <c r="F77" s="6"/>
      <c r="G77" s="6"/>
    </row>
    <row r="78" customFormat="false" ht="22.35" hidden="false" customHeight="false" outlineLevel="0" collapsed="false">
      <c r="A78" s="17" t="s">
        <v>482</v>
      </c>
      <c r="B78" s="9" t="s">
        <v>483</v>
      </c>
      <c r="C78" s="10" t="s">
        <v>484</v>
      </c>
      <c r="D78" s="17" t="s">
        <v>48</v>
      </c>
      <c r="E78" s="24" t="n">
        <v>245</v>
      </c>
      <c r="F78" s="38" t="s">
        <v>41</v>
      </c>
      <c r="G78" s="15" t="s">
        <v>485</v>
      </c>
    </row>
    <row r="79" customFormat="false" ht="22.35" hidden="false" customHeight="false" outlineLevel="0" collapsed="false">
      <c r="A79" s="17" t="s">
        <v>486</v>
      </c>
      <c r="B79" s="9" t="s">
        <v>487</v>
      </c>
      <c r="C79" s="10" t="s">
        <v>488</v>
      </c>
      <c r="D79" s="17" t="s">
        <v>48</v>
      </c>
      <c r="E79" s="24" t="n">
        <v>6</v>
      </c>
      <c r="F79" s="38" t="s">
        <v>41</v>
      </c>
      <c r="G79" s="15"/>
    </row>
    <row r="80" customFormat="false" ht="15" hidden="false" customHeight="false" outlineLevel="0" collapsed="false">
      <c r="A80" s="17" t="s">
        <v>489</v>
      </c>
      <c r="B80" s="9" t="s">
        <v>490</v>
      </c>
      <c r="C80" s="10" t="s">
        <v>491</v>
      </c>
      <c r="D80" s="17" t="s">
        <v>17</v>
      </c>
      <c r="E80" s="24" t="n">
        <v>32</v>
      </c>
      <c r="F80" s="38" t="s">
        <v>41</v>
      </c>
      <c r="G80" s="15" t="s">
        <v>492</v>
      </c>
    </row>
    <row r="81" customFormat="false" ht="15" hidden="false" customHeight="false" outlineLevel="0" collapsed="false">
      <c r="A81" s="17" t="s">
        <v>493</v>
      </c>
      <c r="B81" s="9" t="s">
        <v>494</v>
      </c>
      <c r="C81" s="10" t="s">
        <v>495</v>
      </c>
      <c r="D81" s="17" t="s">
        <v>17</v>
      </c>
      <c r="E81" s="24" t="n">
        <v>126</v>
      </c>
      <c r="F81" s="38" t="s">
        <v>41</v>
      </c>
      <c r="G81" s="15" t="s">
        <v>496</v>
      </c>
    </row>
    <row r="82" customFormat="false" ht="15" hidden="false" customHeight="false" outlineLevel="0" collapsed="false">
      <c r="A82" s="17" t="s">
        <v>497</v>
      </c>
      <c r="B82" s="9" t="s">
        <v>498</v>
      </c>
      <c r="C82" s="10" t="s">
        <v>499</v>
      </c>
      <c r="D82" s="17" t="s">
        <v>17</v>
      </c>
      <c r="E82" s="24" t="n">
        <v>4</v>
      </c>
      <c r="F82" s="38" t="s">
        <v>41</v>
      </c>
      <c r="G82" s="15"/>
    </row>
    <row r="83" customFormat="false" ht="15" hidden="false" customHeight="false" outlineLevel="0" collapsed="false">
      <c r="A83" s="17" t="s">
        <v>500</v>
      </c>
      <c r="B83" s="9" t="s">
        <v>501</v>
      </c>
      <c r="C83" s="10" t="s">
        <v>502</v>
      </c>
      <c r="D83" s="17" t="s">
        <v>17</v>
      </c>
      <c r="E83" s="24" t="n">
        <v>1</v>
      </c>
      <c r="F83" s="38" t="s">
        <v>41</v>
      </c>
      <c r="G83" s="15"/>
    </row>
    <row r="84" customFormat="false" ht="15" hidden="false" customHeight="false" outlineLevel="0" collapsed="false">
      <c r="A84" s="5" t="s">
        <v>503</v>
      </c>
      <c r="B84" s="6"/>
      <c r="C84" s="7" t="s">
        <v>504</v>
      </c>
      <c r="D84" s="6"/>
      <c r="E84" s="6"/>
      <c r="F84" s="6"/>
      <c r="G84" s="6"/>
    </row>
    <row r="85" customFormat="false" ht="19.4" hidden="false" customHeight="false" outlineLevel="0" collapsed="false">
      <c r="A85" s="17" t="s">
        <v>505</v>
      </c>
      <c r="B85" s="9" t="s">
        <v>506</v>
      </c>
      <c r="C85" s="10" t="s">
        <v>507</v>
      </c>
      <c r="D85" s="17" t="s">
        <v>48</v>
      </c>
      <c r="E85" s="24" t="n">
        <v>5.8</v>
      </c>
      <c r="F85" s="38" t="s">
        <v>112</v>
      </c>
      <c r="G85" s="15" t="s">
        <v>508</v>
      </c>
    </row>
    <row r="86" customFormat="false" ht="15" hidden="false" customHeight="false" outlineLevel="0" collapsed="false">
      <c r="A86" s="17" t="s">
        <v>509</v>
      </c>
      <c r="B86" s="9" t="s">
        <v>117</v>
      </c>
      <c r="C86" s="10" t="s">
        <v>118</v>
      </c>
      <c r="D86" s="17" t="s">
        <v>17</v>
      </c>
      <c r="E86" s="24" t="n">
        <v>1</v>
      </c>
      <c r="F86" s="38" t="s">
        <v>116</v>
      </c>
      <c r="G86" s="15" t="s">
        <v>510</v>
      </c>
    </row>
    <row r="87" customFormat="false" ht="15" hidden="false" customHeight="false" outlineLevel="0" collapsed="false">
      <c r="A87" s="17" t="s">
        <v>511</v>
      </c>
      <c r="B87" s="9" t="s">
        <v>512</v>
      </c>
      <c r="C87" s="10" t="s">
        <v>513</v>
      </c>
      <c r="D87" s="17" t="s">
        <v>48</v>
      </c>
      <c r="E87" s="24" t="n">
        <v>5.6</v>
      </c>
      <c r="F87" s="38" t="s">
        <v>120</v>
      </c>
      <c r="G87" s="15" t="s">
        <v>514</v>
      </c>
    </row>
    <row r="88" customFormat="false" ht="22.35" hidden="false" customHeight="false" outlineLevel="0" collapsed="false">
      <c r="A88" s="17" t="s">
        <v>515</v>
      </c>
      <c r="B88" s="9" t="s">
        <v>516</v>
      </c>
      <c r="C88" s="10" t="s">
        <v>517</v>
      </c>
      <c r="D88" s="17" t="s">
        <v>48</v>
      </c>
      <c r="E88" s="24" t="n">
        <v>99</v>
      </c>
      <c r="F88" s="38" t="s">
        <v>123</v>
      </c>
      <c r="G88" s="15" t="s">
        <v>518</v>
      </c>
    </row>
    <row r="89" customFormat="false" ht="15" hidden="false" customHeight="false" outlineLevel="0" collapsed="false">
      <c r="A89" s="17" t="s">
        <v>519</v>
      </c>
      <c r="B89" s="9" t="s">
        <v>128</v>
      </c>
      <c r="C89" s="10" t="s">
        <v>129</v>
      </c>
      <c r="D89" s="17" t="s">
        <v>130</v>
      </c>
      <c r="E89" s="24" t="n">
        <v>63</v>
      </c>
      <c r="F89" s="38" t="s">
        <v>127</v>
      </c>
      <c r="G89" s="15" t="s">
        <v>520</v>
      </c>
    </row>
    <row r="90" customFormat="false" ht="15" hidden="false" customHeight="false" outlineLevel="0" collapsed="false">
      <c r="A90" s="5" t="s">
        <v>521</v>
      </c>
      <c r="B90" s="6"/>
      <c r="C90" s="7" t="s">
        <v>522</v>
      </c>
      <c r="D90" s="6"/>
      <c r="E90" s="6"/>
      <c r="F90" s="6"/>
      <c r="G90" s="6"/>
    </row>
    <row r="91" customFormat="false" ht="19.4" hidden="false" customHeight="false" outlineLevel="0" collapsed="false">
      <c r="A91" s="17" t="s">
        <v>523</v>
      </c>
      <c r="B91" s="9" t="s">
        <v>524</v>
      </c>
      <c r="C91" s="10" t="s">
        <v>525</v>
      </c>
      <c r="D91" s="17" t="s">
        <v>17</v>
      </c>
      <c r="E91" s="24" t="n">
        <v>518</v>
      </c>
      <c r="F91" s="38" t="s">
        <v>86</v>
      </c>
      <c r="G91" s="15" t="s">
        <v>526</v>
      </c>
    </row>
    <row r="92" customFormat="false" ht="22.35" hidden="false" customHeight="false" outlineLevel="0" collapsed="false">
      <c r="A92" s="17" t="s">
        <v>527</v>
      </c>
      <c r="B92" s="9" t="s">
        <v>528</v>
      </c>
      <c r="C92" s="10" t="s">
        <v>529</v>
      </c>
      <c r="D92" s="17" t="s">
        <v>17</v>
      </c>
      <c r="E92" s="24" t="n">
        <v>166</v>
      </c>
      <c r="F92" s="38" t="s">
        <v>86</v>
      </c>
      <c r="G92" s="15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7" min="6" style="0" width="10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1" t="s">
        <v>531</v>
      </c>
    </row>
    <row r="2" customFormat="false" ht="15" hidden="false" customHeight="false" outlineLevel="0" collapsed="false">
      <c r="A2" s="3" t="s">
        <v>532</v>
      </c>
    </row>
    <row r="4" customFormat="false" ht="15" hidden="false" customHeight="false" outlineLevel="0" collapsed="false">
      <c r="A4" s="8" t="s">
        <v>533</v>
      </c>
      <c r="B4" s="39" t="n">
        <v>49.5</v>
      </c>
    </row>
    <row r="5" customFormat="false" ht="15" hidden="false" customHeight="false" outlineLevel="0" collapsed="false">
      <c r="A5" s="8" t="s">
        <v>534</v>
      </c>
      <c r="B5" s="39" t="n">
        <v>-0.25</v>
      </c>
    </row>
    <row r="6" customFormat="false" ht="15" hidden="false" customHeight="false" outlineLevel="0" collapsed="false">
      <c r="A6" s="8" t="s">
        <v>535</v>
      </c>
      <c r="B6" s="39" t="n">
        <v>-30</v>
      </c>
    </row>
    <row r="7" customFormat="false" ht="15" hidden="false" customHeight="false" outlineLevel="0" collapsed="false">
      <c r="A7" s="8" t="s">
        <v>536</v>
      </c>
      <c r="B7" s="39" t="n">
        <v>37</v>
      </c>
    </row>
    <row r="8" customFormat="false" ht="15" hidden="false" customHeight="false" outlineLevel="0" collapsed="false">
      <c r="A8" s="8" t="s">
        <v>537</v>
      </c>
      <c r="B8" s="39" t="n">
        <v>45.93</v>
      </c>
    </row>
    <row r="9" customFormat="false" ht="15" hidden="false" customHeight="false" outlineLevel="0" collapsed="false">
      <c r="A9" s="8" t="s">
        <v>538</v>
      </c>
      <c r="B9" s="39" t="n">
        <v>17.51</v>
      </c>
    </row>
    <row r="10" customFormat="false" ht="15" hidden="false" customHeight="false" outlineLevel="0" collapsed="false">
      <c r="A10" s="8" t="s">
        <v>539</v>
      </c>
      <c r="B10" s="39" t="n">
        <v>18.51</v>
      </c>
    </row>
    <row r="11" customFormat="false" ht="15" hidden="false" customHeight="false" outlineLevel="0" collapsed="false">
      <c r="A11" s="8" t="s">
        <v>540</v>
      </c>
      <c r="B11" s="39" t="n">
        <v>1000</v>
      </c>
    </row>
    <row r="12" customFormat="false" ht="15" hidden="false" customHeight="false" outlineLevel="0" collapsed="false">
      <c r="A12" s="8" t="s">
        <v>541</v>
      </c>
      <c r="B12" s="39" t="n">
        <v>200</v>
      </c>
    </row>
    <row r="13" customFormat="false" ht="15" hidden="false" customHeight="false" outlineLevel="0" collapsed="false">
      <c r="A13" s="8" t="s">
        <v>542</v>
      </c>
      <c r="B13" s="39" t="n">
        <v>850</v>
      </c>
    </row>
    <row r="14" customFormat="false" ht="15" hidden="false" customHeight="false" outlineLevel="0" collapsed="false">
      <c r="A14" s="8" t="s">
        <v>543</v>
      </c>
      <c r="B14" s="39" t="n">
        <v>250</v>
      </c>
    </row>
    <row r="15" customFormat="false" ht="15" hidden="false" customHeight="false" outlineLevel="0" collapsed="false">
      <c r="A15" s="8" t="s">
        <v>544</v>
      </c>
      <c r="B15" s="39" t="n">
        <v>40</v>
      </c>
    </row>
    <row r="16" customFormat="false" ht="15" hidden="false" customHeight="false" outlineLevel="0" collapsed="false">
      <c r="A16" s="8" t="s">
        <v>545</v>
      </c>
      <c r="B16" s="39" t="n">
        <v>60</v>
      </c>
    </row>
    <row r="18" customFormat="false" ht="30" hidden="false" customHeight="true" outlineLevel="0" collapsed="false">
      <c r="A18" s="4" t="s">
        <v>546</v>
      </c>
      <c r="B18" s="4" t="s">
        <v>547</v>
      </c>
      <c r="C18" s="4" t="s">
        <v>548</v>
      </c>
      <c r="D18" s="4" t="s">
        <v>549</v>
      </c>
      <c r="E18" s="4" t="s">
        <v>550</v>
      </c>
      <c r="F18" s="4" t="s">
        <v>551</v>
      </c>
      <c r="G18" s="4" t="s">
        <v>552</v>
      </c>
      <c r="H18" s="4" t="s">
        <v>553</v>
      </c>
      <c r="I18" s="4" t="s">
        <v>554</v>
      </c>
      <c r="J18" s="4" t="s">
        <v>555</v>
      </c>
      <c r="K18" s="4" t="s">
        <v>556</v>
      </c>
      <c r="L18" s="4" t="s">
        <v>557</v>
      </c>
    </row>
    <row r="19" customFormat="false" ht="15" hidden="false" customHeight="false" outlineLevel="0" collapsed="false">
      <c r="A19" s="8" t="s">
        <v>558</v>
      </c>
      <c r="B19" s="11" t="n">
        <f aca="false">Параметри!B13</f>
        <v>12</v>
      </c>
      <c r="C19" s="32" t="n">
        <f aca="false">B19*$B$4*(1+$B$5/100*($B$6-25))</f>
        <v>675.675</v>
      </c>
      <c r="D19" s="8" t="str">
        <f aca="false">IF(C19&lt;=$B$11,"так / yes","ні / no")</f>
        <v>так / yes</v>
      </c>
      <c r="E19" s="32" t="n">
        <f aca="false">B19*$B$7</f>
        <v>444</v>
      </c>
      <c r="F19" s="8" t="str">
        <f aca="false">IF(AND(E19&gt;=$B$12,E19&gt;=$B$14),"так / yes","ні / no")</f>
        <v>так / yes</v>
      </c>
      <c r="G19" s="32" t="n">
        <f aca="false">B19*$B$8</f>
        <v>551.16</v>
      </c>
      <c r="H19" s="8" t="str">
        <f aca="false">IF(G19&lt;=$B$13,"так / yes","ні / no")</f>
        <v>так / yes</v>
      </c>
      <c r="I19" s="32" t="n">
        <f aca="false">2*$B$9</f>
        <v>35.02</v>
      </c>
      <c r="J19" s="8" t="str">
        <f aca="false">IF(I19&lt;=$B$15,"так / yes","ні / no")</f>
        <v>так / yes</v>
      </c>
      <c r="K19" s="32" t="n">
        <f aca="false">2*$B$10</f>
        <v>37.02</v>
      </c>
      <c r="L19" s="8" t="str">
        <f aca="false">IF(K19&lt;=$B$16,"так / yes","ні / no")</f>
        <v>так / yes</v>
      </c>
    </row>
    <row r="21" customFormat="false" ht="30" hidden="false" customHeight="true" outlineLevel="0" collapsed="false">
      <c r="A21" s="4" t="s">
        <v>559</v>
      </c>
      <c r="B21" s="4" t="s">
        <v>560</v>
      </c>
      <c r="C21" s="4" t="s">
        <v>561</v>
      </c>
      <c r="D21" s="4" t="s">
        <v>562</v>
      </c>
      <c r="E21" s="4" t="s">
        <v>563</v>
      </c>
      <c r="F21" s="4" t="s">
        <v>564</v>
      </c>
      <c r="G21" s="4" t="s">
        <v>190</v>
      </c>
      <c r="H21" s="4" t="s">
        <v>565</v>
      </c>
      <c r="I21" s="4" t="s">
        <v>566</v>
      </c>
      <c r="J21" s="4" t="s">
        <v>567</v>
      </c>
      <c r="K21" s="4" t="s">
        <v>568</v>
      </c>
      <c r="L21" s="4" t="s">
        <v>569</v>
      </c>
    </row>
    <row r="22" customFormat="false" ht="15" hidden="false" customHeight="false" outlineLevel="0" collapsed="false">
      <c r="A22" s="8" t="s">
        <v>570</v>
      </c>
      <c r="B22" s="8" t="n">
        <v>1</v>
      </c>
      <c r="C22" s="39" t="n">
        <v>12</v>
      </c>
      <c r="D22" s="8" t="s">
        <v>571</v>
      </c>
      <c r="E22" s="8" t="s">
        <v>572</v>
      </c>
      <c r="F22" s="39" t="n">
        <v>3.1</v>
      </c>
      <c r="G22" s="40" t="n">
        <v>8.584</v>
      </c>
      <c r="H22" s="41" t="n">
        <v>1.4</v>
      </c>
      <c r="I22" s="39" t="n">
        <v>36.1</v>
      </c>
      <c r="J22" s="39" t="n">
        <v>36.9</v>
      </c>
      <c r="K22" s="39" t="n">
        <v>14.8</v>
      </c>
      <c r="L22" s="42" t="n">
        <v>1928</v>
      </c>
    </row>
    <row r="23" customFormat="false" ht="15" hidden="false" customHeight="false" outlineLevel="0" collapsed="false">
      <c r="A23" s="8" t="s">
        <v>573</v>
      </c>
      <c r="B23" s="8" t="n">
        <v>1</v>
      </c>
      <c r="C23" s="39" t="n">
        <v>12</v>
      </c>
      <c r="D23" s="8" t="s">
        <v>571</v>
      </c>
      <c r="E23" s="8" t="s">
        <v>572</v>
      </c>
      <c r="F23" s="39" t="n">
        <v>9</v>
      </c>
      <c r="G23" s="40" t="n">
        <v>8.45</v>
      </c>
      <c r="H23" s="41" t="n">
        <v>3</v>
      </c>
      <c r="I23" s="39" t="n">
        <v>37</v>
      </c>
      <c r="J23" s="39" t="n">
        <v>30.6</v>
      </c>
      <c r="K23" s="39" t="n">
        <v>27.6</v>
      </c>
      <c r="L23" s="42" t="n">
        <v>2021</v>
      </c>
    </row>
    <row r="24" customFormat="false" ht="15" hidden="false" customHeight="false" outlineLevel="0" collapsed="false">
      <c r="A24" s="8" t="s">
        <v>574</v>
      </c>
      <c r="B24" s="8" t="n">
        <v>2</v>
      </c>
      <c r="C24" s="39" t="n">
        <v>12</v>
      </c>
      <c r="D24" s="8" t="s">
        <v>571</v>
      </c>
      <c r="E24" s="8" t="s">
        <v>572</v>
      </c>
      <c r="F24" s="39" t="n">
        <v>10.9</v>
      </c>
      <c r="G24" s="40" t="n">
        <v>8.616</v>
      </c>
      <c r="H24" s="41" t="n">
        <v>1</v>
      </c>
      <c r="I24" s="39" t="n">
        <v>36.3</v>
      </c>
      <c r="J24" s="39" t="n">
        <v>38.2</v>
      </c>
      <c r="K24" s="39" t="n">
        <v>3.9</v>
      </c>
      <c r="L24" s="42" t="n">
        <v>522</v>
      </c>
    </row>
    <row r="25" customFormat="false" ht="15" hidden="false" customHeight="false" outlineLevel="0" collapsed="false">
      <c r="A25" s="8" t="s">
        <v>575</v>
      </c>
      <c r="B25" s="8" t="n">
        <v>2</v>
      </c>
      <c r="C25" s="39" t="n">
        <v>12</v>
      </c>
      <c r="D25" s="8" t="s">
        <v>576</v>
      </c>
      <c r="E25" s="8" t="s">
        <v>572</v>
      </c>
      <c r="F25" s="39" t="n">
        <v>14</v>
      </c>
      <c r="G25" s="40" t="n">
        <v>7.905</v>
      </c>
      <c r="H25" s="41" t="n">
        <v>4.3</v>
      </c>
      <c r="I25" s="39" t="n">
        <v>39.4</v>
      </c>
      <c r="J25" s="39" t="n">
        <v>10.7</v>
      </c>
      <c r="K25" s="39" t="n">
        <v>71.3</v>
      </c>
      <c r="L25" s="42" t="n">
        <v>5703</v>
      </c>
    </row>
    <row r="26" customFormat="false" ht="15" hidden="false" customHeight="false" outlineLevel="0" collapsed="false">
      <c r="A26" s="8" t="s">
        <v>577</v>
      </c>
      <c r="B26" s="8" t="n">
        <v>3</v>
      </c>
      <c r="C26" s="39" t="n">
        <v>12</v>
      </c>
      <c r="D26" s="8" t="s">
        <v>571</v>
      </c>
      <c r="E26" s="8" t="s">
        <v>578</v>
      </c>
      <c r="F26" s="39" t="n">
        <v>3.1</v>
      </c>
      <c r="G26" s="40" t="n">
        <v>8.529</v>
      </c>
      <c r="H26" s="41" t="n">
        <v>1.3</v>
      </c>
      <c r="I26" s="39" t="n">
        <v>36.3</v>
      </c>
      <c r="J26" s="39" t="n">
        <v>34.8</v>
      </c>
      <c r="K26" s="39" t="n">
        <v>10</v>
      </c>
      <c r="L26" s="42" t="n">
        <v>2302</v>
      </c>
    </row>
    <row r="27" customFormat="false" ht="15" hidden="false" customHeight="false" outlineLevel="0" collapsed="false">
      <c r="A27" s="8" t="s">
        <v>579</v>
      </c>
      <c r="B27" s="8" t="n">
        <v>3</v>
      </c>
      <c r="C27" s="39" t="n">
        <v>12</v>
      </c>
      <c r="D27" s="8" t="s">
        <v>571</v>
      </c>
      <c r="E27" s="8" t="s">
        <v>578</v>
      </c>
      <c r="F27" s="39" t="n">
        <v>4</v>
      </c>
      <c r="G27" s="40" t="n">
        <v>8.165</v>
      </c>
      <c r="H27" s="41" t="n">
        <v>5</v>
      </c>
      <c r="I27" s="39" t="n">
        <v>45.4</v>
      </c>
      <c r="J27" s="39" t="n">
        <v>20</v>
      </c>
      <c r="K27" s="39" t="n">
        <v>24.2</v>
      </c>
      <c r="L27" s="42" t="n">
        <v>3410</v>
      </c>
    </row>
    <row r="28" customFormat="false" ht="15" hidden="false" customHeight="false" outlineLevel="0" collapsed="false">
      <c r="A28" s="8" t="s">
        <v>580</v>
      </c>
      <c r="B28" s="8" t="n">
        <v>4</v>
      </c>
      <c r="C28" s="39" t="n">
        <v>12</v>
      </c>
      <c r="D28" s="8" t="s">
        <v>571</v>
      </c>
      <c r="E28" s="8" t="s">
        <v>578</v>
      </c>
      <c r="F28" s="39" t="n">
        <v>11.4</v>
      </c>
      <c r="G28" s="40" t="n">
        <v>8.276</v>
      </c>
      <c r="H28" s="41" t="n">
        <v>1.2</v>
      </c>
      <c r="I28" s="39" t="n">
        <v>46.2</v>
      </c>
      <c r="J28" s="39" t="n">
        <v>39.9</v>
      </c>
      <c r="K28" s="39" t="n">
        <v>6.8</v>
      </c>
      <c r="L28" s="42" t="n">
        <v>1185</v>
      </c>
    </row>
    <row r="29" customFormat="false" ht="15" hidden="false" customHeight="false" outlineLevel="0" collapsed="false">
      <c r="A29" s="8" t="s">
        <v>581</v>
      </c>
      <c r="B29" s="8" t="n">
        <v>4</v>
      </c>
      <c r="C29" s="39" t="n">
        <v>12</v>
      </c>
      <c r="D29" s="8" t="s">
        <v>571</v>
      </c>
      <c r="E29" s="8" t="s">
        <v>578</v>
      </c>
      <c r="F29" s="39" t="n">
        <v>7.7</v>
      </c>
      <c r="G29" s="40" t="n">
        <v>8.416</v>
      </c>
      <c r="H29" s="41" t="n">
        <v>1.3</v>
      </c>
      <c r="I29" s="39" t="n">
        <v>43.6</v>
      </c>
      <c r="J29" s="39" t="n">
        <v>28.8</v>
      </c>
      <c r="K29" s="39" t="n">
        <v>2.6</v>
      </c>
      <c r="L29" s="42" t="n">
        <v>2097</v>
      </c>
    </row>
    <row r="30" customFormat="false" ht="15" hidden="false" customHeight="false" outlineLevel="0" collapsed="false">
      <c r="A30" s="8" t="s">
        <v>582</v>
      </c>
      <c r="B30" s="8" t="n">
        <v>5</v>
      </c>
      <c r="C30" s="39" t="n">
        <v>12</v>
      </c>
      <c r="D30" s="8" t="s">
        <v>583</v>
      </c>
      <c r="E30" s="8" t="s">
        <v>578</v>
      </c>
      <c r="F30" s="39" t="n">
        <v>15</v>
      </c>
      <c r="G30" s="40" t="n">
        <v>7.385</v>
      </c>
      <c r="H30" s="41" t="n">
        <v>1.6</v>
      </c>
      <c r="I30" s="39" t="n">
        <v>24.5</v>
      </c>
      <c r="J30" s="39" t="n">
        <v>17.4</v>
      </c>
      <c r="K30" s="39" t="n">
        <v>36.1</v>
      </c>
      <c r="L30" s="42" t="n">
        <v>4485</v>
      </c>
    </row>
    <row r="31" customFormat="false" ht="15" hidden="false" customHeight="false" outlineLevel="0" collapsed="false">
      <c r="A31" s="8" t="s">
        <v>584</v>
      </c>
      <c r="B31" s="8" t="n">
        <v>5</v>
      </c>
      <c r="C31" s="39" t="n">
        <v>12</v>
      </c>
      <c r="D31" s="8" t="s">
        <v>583</v>
      </c>
      <c r="E31" s="8" t="s">
        <v>572</v>
      </c>
      <c r="F31" s="39" t="n">
        <v>15</v>
      </c>
      <c r="G31" s="40" t="n">
        <v>6.855</v>
      </c>
      <c r="H31" s="41" t="n">
        <v>2.8</v>
      </c>
      <c r="I31" s="39" t="n">
        <v>23.1</v>
      </c>
      <c r="J31" s="39" t="n">
        <v>16.1</v>
      </c>
      <c r="K31" s="39" t="n">
        <v>33.7</v>
      </c>
      <c r="L31" s="42" t="n">
        <v>5573</v>
      </c>
    </row>
    <row r="32" customFormat="false" ht="15" hidden="false" customHeight="false" outlineLevel="0" collapsed="false">
      <c r="A32" s="8" t="s">
        <v>585</v>
      </c>
      <c r="B32" s="8" t="n">
        <v>6</v>
      </c>
      <c r="C32" s="39" t="n">
        <v>12</v>
      </c>
      <c r="D32" s="8" t="s">
        <v>586</v>
      </c>
      <c r="E32" s="8" t="s">
        <v>587</v>
      </c>
      <c r="F32" s="39" t="n">
        <v>71.2</v>
      </c>
      <c r="G32" s="40" t="n">
        <v>5.914</v>
      </c>
      <c r="H32" s="41" t="n">
        <v>10.4</v>
      </c>
      <c r="I32" s="39" t="n">
        <v>19.8</v>
      </c>
      <c r="J32" s="39" t="n">
        <v>11.9</v>
      </c>
      <c r="K32" s="39" t="n">
        <v>69.2</v>
      </c>
      <c r="L32" s="42" t="n">
        <v>7875</v>
      </c>
    </row>
    <row r="33" customFormat="false" ht="15" hidden="false" customHeight="false" outlineLevel="0" collapsed="false">
      <c r="A33" s="5" t="s">
        <v>588</v>
      </c>
      <c r="B33" s="5"/>
      <c r="C33" s="5" t="n">
        <f aca="false">SUM(C22:C32)</f>
        <v>132</v>
      </c>
      <c r="D33" s="5"/>
      <c r="E33" s="5"/>
      <c r="F33" s="5"/>
      <c r="G33" s="43" t="n">
        <f aca="false">SUM(G22:G32)</f>
        <v>87.095</v>
      </c>
      <c r="H33" s="5"/>
      <c r="I33" s="5" t="n">
        <f aca="false">SUM(I22:I32)</f>
        <v>387.7</v>
      </c>
      <c r="J33" s="5" t="n">
        <f aca="false">SUM(J22:J32)</f>
        <v>285.3</v>
      </c>
      <c r="K33" s="5" t="n">
        <f aca="false">SUM(K22:K32)</f>
        <v>300.2</v>
      </c>
      <c r="L33" s="44" t="n">
        <f aca="false">SUM(L22:L32)</f>
        <v>37101</v>
      </c>
    </row>
    <row r="35" customFormat="false" ht="36" hidden="false" customHeight="true" outlineLevel="0" collapsed="false">
      <c r="A35" s="36" t="s">
        <v>589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</sheetData>
  <mergeCells count="1">
    <mergeCell ref="A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" t="s">
        <v>590</v>
      </c>
    </row>
    <row r="2" customFormat="false" ht="15" hidden="false" customHeight="false" outlineLevel="0" collapsed="false">
      <c r="A2" s="3" t="s">
        <v>591</v>
      </c>
    </row>
    <row r="4" customFormat="false" ht="22.35" hidden="false" customHeight="false" outlineLevel="0" collapsed="false">
      <c r="A4" s="4" t="s">
        <v>592</v>
      </c>
      <c r="B4" s="4" t="s">
        <v>593</v>
      </c>
      <c r="C4" s="4" t="s">
        <v>6</v>
      </c>
      <c r="D4" s="4" t="s">
        <v>594</v>
      </c>
    </row>
    <row r="5" customFormat="false" ht="15" hidden="false" customHeight="false" outlineLevel="0" collapsed="false">
      <c r="A5" s="9" t="s">
        <v>595</v>
      </c>
      <c r="B5" s="24" t="n">
        <v>86</v>
      </c>
      <c r="C5" s="8" t="s">
        <v>596</v>
      </c>
      <c r="D5" s="15" t="s">
        <v>597</v>
      </c>
    </row>
    <row r="6" customFormat="false" ht="15" hidden="false" customHeight="false" outlineLevel="0" collapsed="false">
      <c r="A6" s="9" t="s">
        <v>598</v>
      </c>
      <c r="B6" s="24" t="n">
        <v>31</v>
      </c>
      <c r="C6" s="8" t="s">
        <v>596</v>
      </c>
      <c r="D6" s="15" t="s">
        <v>599</v>
      </c>
    </row>
    <row r="7" customFormat="false" ht="15" hidden="false" customHeight="false" outlineLevel="0" collapsed="false">
      <c r="A7" s="9" t="s">
        <v>600</v>
      </c>
      <c r="B7" s="24" t="n">
        <v>6</v>
      </c>
      <c r="C7" s="8" t="s">
        <v>596</v>
      </c>
      <c r="D7" s="15" t="s">
        <v>601</v>
      </c>
    </row>
    <row r="8" customFormat="false" ht="15" hidden="false" customHeight="false" outlineLevel="0" collapsed="false">
      <c r="A8" s="9" t="s">
        <v>602</v>
      </c>
      <c r="B8" s="24" t="n">
        <v>9</v>
      </c>
      <c r="C8" s="8" t="s">
        <v>596</v>
      </c>
      <c r="D8" s="15" t="s">
        <v>601</v>
      </c>
    </row>
    <row r="9" customFormat="false" ht="15" hidden="false" customHeight="false" outlineLevel="0" collapsed="false">
      <c r="A9" s="9" t="s">
        <v>603</v>
      </c>
      <c r="B9" s="21" t="n">
        <f aca="false">B5+B6+B7+B8</f>
        <v>132</v>
      </c>
      <c r="C9" s="8" t="s">
        <v>596</v>
      </c>
      <c r="D9" s="15"/>
    </row>
    <row r="10" customFormat="false" ht="15" hidden="false" customHeight="false" outlineLevel="0" collapsed="false">
      <c r="A10" s="9" t="s">
        <v>604</v>
      </c>
      <c r="B10" s="21" t="n">
        <f aca="false">ROUNDUP(B9*$B$30,0)</f>
        <v>135</v>
      </c>
      <c r="C10" s="8" t="s">
        <v>596</v>
      </c>
      <c r="D10" s="15" t="s">
        <v>73</v>
      </c>
    </row>
    <row r="11" customFormat="false" ht="15" hidden="false" customHeight="false" outlineLevel="0" collapsed="false">
      <c r="A11" s="9" t="s">
        <v>605</v>
      </c>
      <c r="B11" s="31" t="n">
        <f aca="false">B9*$B$28/1000</f>
        <v>96.36</v>
      </c>
      <c r="C11" s="8" t="s">
        <v>143</v>
      </c>
      <c r="D11" s="15" t="s">
        <v>606</v>
      </c>
    </row>
    <row r="12" customFormat="false" ht="15" hidden="false" customHeight="false" outlineLevel="0" collapsed="false">
      <c r="A12" s="9" t="s">
        <v>607</v>
      </c>
      <c r="B12" s="24" t="n">
        <v>11</v>
      </c>
      <c r="C12" s="8" t="s">
        <v>596</v>
      </c>
      <c r="D12" s="15" t="s">
        <v>608</v>
      </c>
    </row>
    <row r="13" customFormat="false" ht="15" hidden="false" customHeight="false" outlineLevel="0" collapsed="false">
      <c r="A13" s="9" t="s">
        <v>609</v>
      </c>
      <c r="B13" s="24" t="n">
        <v>12</v>
      </c>
      <c r="C13" s="8" t="s">
        <v>596</v>
      </c>
      <c r="D13" s="15" t="s">
        <v>610</v>
      </c>
    </row>
    <row r="14" customFormat="false" ht="15" hidden="false" customHeight="false" outlineLevel="0" collapsed="false">
      <c r="A14" s="9" t="s">
        <v>611</v>
      </c>
      <c r="B14" s="45" t="n">
        <v>87.1</v>
      </c>
      <c r="C14" s="8" t="s">
        <v>190</v>
      </c>
      <c r="D14" s="15" t="s">
        <v>612</v>
      </c>
    </row>
    <row r="15" customFormat="false" ht="15" hidden="false" customHeight="false" outlineLevel="0" collapsed="false">
      <c r="A15" s="9" t="s">
        <v>613</v>
      </c>
      <c r="B15" s="24" t="n">
        <v>65</v>
      </c>
      <c r="C15" s="8" t="s">
        <v>596</v>
      </c>
      <c r="D15" s="15" t="s">
        <v>614</v>
      </c>
    </row>
    <row r="16" customFormat="false" ht="19.4" hidden="false" customHeight="false" outlineLevel="0" collapsed="false">
      <c r="A16" s="9" t="s">
        <v>615</v>
      </c>
      <c r="B16" s="21" t="n">
        <f aca="false">ROUNDUP(($B$45+B15)*1.01,0)</f>
        <v>684</v>
      </c>
      <c r="C16" s="8" t="s">
        <v>596</v>
      </c>
      <c r="D16" s="15" t="s">
        <v>616</v>
      </c>
    </row>
    <row r="17" customFormat="false" ht="15" hidden="false" customHeight="false" outlineLevel="0" collapsed="false">
      <c r="A17" s="9" t="s">
        <v>617</v>
      </c>
      <c r="B17" s="24" t="n">
        <v>45</v>
      </c>
      <c r="C17" s="8" t="s">
        <v>618</v>
      </c>
      <c r="D17" s="15" t="s">
        <v>454</v>
      </c>
    </row>
    <row r="18" customFormat="false" ht="15" hidden="false" customHeight="false" outlineLevel="0" collapsed="false">
      <c r="A18" s="9" t="s">
        <v>619</v>
      </c>
      <c r="B18" s="24" t="n">
        <v>55</v>
      </c>
      <c r="C18" s="8" t="s">
        <v>618</v>
      </c>
      <c r="D18" s="15" t="s">
        <v>476</v>
      </c>
    </row>
    <row r="19" customFormat="false" ht="15" hidden="false" customHeight="false" outlineLevel="0" collapsed="false">
      <c r="A19" s="9" t="s">
        <v>620</v>
      </c>
      <c r="B19" s="24" t="n">
        <v>5.8</v>
      </c>
      <c r="C19" s="8" t="s">
        <v>618</v>
      </c>
      <c r="D19" s="15" t="s">
        <v>508</v>
      </c>
    </row>
    <row r="20" customFormat="false" ht="15" hidden="false" customHeight="false" outlineLevel="0" collapsed="false">
      <c r="A20" s="9" t="s">
        <v>621</v>
      </c>
      <c r="B20" s="24" t="n">
        <v>1</v>
      </c>
      <c r="C20" s="8" t="s">
        <v>596</v>
      </c>
      <c r="D20" s="15" t="s">
        <v>510</v>
      </c>
    </row>
    <row r="21" customFormat="false" ht="15" hidden="false" customHeight="false" outlineLevel="0" collapsed="false">
      <c r="A21" s="9" t="s">
        <v>622</v>
      </c>
      <c r="B21" s="24" t="n">
        <v>5.6</v>
      </c>
      <c r="C21" s="8" t="s">
        <v>618</v>
      </c>
      <c r="D21" s="15" t="s">
        <v>623</v>
      </c>
    </row>
    <row r="22" customFormat="false" ht="15" hidden="false" customHeight="false" outlineLevel="0" collapsed="false">
      <c r="A22" s="9" t="s">
        <v>624</v>
      </c>
      <c r="B22" s="24" t="n">
        <v>99</v>
      </c>
      <c r="C22" s="8" t="s">
        <v>618</v>
      </c>
      <c r="D22" s="15" t="s">
        <v>518</v>
      </c>
    </row>
    <row r="23" customFormat="false" ht="15" hidden="false" customHeight="false" outlineLevel="0" collapsed="false">
      <c r="A23" s="9" t="s">
        <v>625</v>
      </c>
      <c r="B23" s="24" t="n">
        <v>63</v>
      </c>
      <c r="C23" s="8" t="s">
        <v>626</v>
      </c>
      <c r="D23" s="15" t="s">
        <v>520</v>
      </c>
    </row>
    <row r="24" customFormat="false" ht="22.35" hidden="false" customHeight="false" outlineLevel="0" collapsed="false">
      <c r="A24" s="9" t="s">
        <v>627</v>
      </c>
      <c r="B24" s="24" t="n">
        <v>112</v>
      </c>
      <c r="C24" s="8" t="s">
        <v>155</v>
      </c>
      <c r="D24" s="15" t="s">
        <v>628</v>
      </c>
    </row>
    <row r="25" customFormat="false" ht="19.4" hidden="false" customHeight="false" outlineLevel="0" collapsed="false">
      <c r="A25" s="9" t="s">
        <v>629</v>
      </c>
      <c r="B25" s="24" t="n">
        <v>10</v>
      </c>
      <c r="C25" s="8" t="s">
        <v>596</v>
      </c>
      <c r="D25" s="15" t="s">
        <v>630</v>
      </c>
    </row>
    <row r="26" customFormat="false" ht="15" hidden="false" customHeight="false" outlineLevel="0" collapsed="false">
      <c r="A26" s="46"/>
      <c r="D26" s="46"/>
    </row>
    <row r="27" customFormat="false" ht="22.35" hidden="false" customHeight="false" outlineLevel="0" collapsed="false">
      <c r="A27" s="47" t="s">
        <v>631</v>
      </c>
      <c r="B27" s="4" t="s">
        <v>593</v>
      </c>
      <c r="C27" s="4" t="s">
        <v>6</v>
      </c>
      <c r="D27" s="47" t="s">
        <v>594</v>
      </c>
    </row>
    <row r="28" customFormat="false" ht="15" hidden="false" customHeight="false" outlineLevel="0" collapsed="false">
      <c r="A28" s="9" t="s">
        <v>632</v>
      </c>
      <c r="B28" s="24" t="n">
        <v>730</v>
      </c>
      <c r="C28" s="8" t="s">
        <v>633</v>
      </c>
      <c r="D28" s="15" t="s">
        <v>634</v>
      </c>
    </row>
    <row r="29" customFormat="false" ht="15" hidden="false" customHeight="false" outlineLevel="0" collapsed="false">
      <c r="A29" s="9" t="s">
        <v>635</v>
      </c>
      <c r="B29" s="48" t="n">
        <v>44.89</v>
      </c>
      <c r="C29" s="8" t="s">
        <v>636</v>
      </c>
      <c r="D29" s="15" t="s">
        <v>637</v>
      </c>
    </row>
    <row r="30" customFormat="false" ht="15" hidden="false" customHeight="false" outlineLevel="0" collapsed="false">
      <c r="A30" s="9" t="s">
        <v>638</v>
      </c>
      <c r="B30" s="49" t="n">
        <v>1.02</v>
      </c>
      <c r="C30" s="8"/>
      <c r="D30" s="15" t="s">
        <v>73</v>
      </c>
    </row>
    <row r="31" customFormat="false" ht="15" hidden="false" customHeight="false" outlineLevel="0" collapsed="false">
      <c r="A31" s="9" t="s">
        <v>639</v>
      </c>
      <c r="B31" s="50" t="n">
        <v>73</v>
      </c>
      <c r="C31" s="8" t="s">
        <v>640</v>
      </c>
      <c r="D31" s="15" t="s">
        <v>641</v>
      </c>
    </row>
    <row r="32" customFormat="false" ht="15" hidden="false" customHeight="false" outlineLevel="0" collapsed="false">
      <c r="A32" s="9" t="s">
        <v>642</v>
      </c>
      <c r="B32" s="51" t="n">
        <f aca="false">21500/1925</f>
        <v>11.1688311688312</v>
      </c>
      <c r="C32" s="8" t="s">
        <v>643</v>
      </c>
      <c r="D32" s="15" t="s">
        <v>644</v>
      </c>
    </row>
    <row r="33" customFormat="false" ht="15" hidden="false" customHeight="false" outlineLevel="0" collapsed="false">
      <c r="A33" s="9" t="s">
        <v>645</v>
      </c>
      <c r="B33" s="51" t="n">
        <f aca="false">11211/1260+4*0.5</f>
        <v>10.897619047619</v>
      </c>
      <c r="C33" s="8" t="s">
        <v>643</v>
      </c>
      <c r="D33" s="15" t="s">
        <v>646</v>
      </c>
    </row>
    <row r="34" customFormat="false" ht="15" hidden="false" customHeight="false" outlineLevel="0" collapsed="false">
      <c r="A34" s="9" t="s">
        <v>647</v>
      </c>
      <c r="B34" s="51" t="n">
        <f aca="false">2555/297</f>
        <v>8.6026936026936</v>
      </c>
      <c r="C34" s="8" t="s">
        <v>643</v>
      </c>
      <c r="D34" s="15" t="s">
        <v>31</v>
      </c>
    </row>
    <row r="35" customFormat="false" ht="15" hidden="false" customHeight="false" outlineLevel="0" collapsed="false">
      <c r="A35" s="9" t="s">
        <v>648</v>
      </c>
      <c r="B35" s="51" t="n">
        <f aca="false">11520/192</f>
        <v>60</v>
      </c>
      <c r="C35" s="8" t="s">
        <v>649</v>
      </c>
      <c r="D35" s="15" t="s">
        <v>36</v>
      </c>
    </row>
    <row r="36" customFormat="false" ht="15" hidden="false" customHeight="false" outlineLevel="0" collapsed="false">
      <c r="A36" s="9" t="s">
        <v>650</v>
      </c>
      <c r="B36" s="51" t="n">
        <f aca="false">12398/192</f>
        <v>64.5729166666667</v>
      </c>
      <c r="C36" s="8" t="s">
        <v>649</v>
      </c>
      <c r="D36" s="15" t="s">
        <v>40</v>
      </c>
    </row>
    <row r="37" customFormat="false" ht="22.35" hidden="false" customHeight="false" outlineLevel="0" collapsed="false">
      <c r="A37" s="9" t="s">
        <v>651</v>
      </c>
      <c r="B37" s="51" t="n">
        <f aca="false">2400/2112</f>
        <v>1.13636363636364</v>
      </c>
      <c r="C37" s="8" t="s">
        <v>643</v>
      </c>
      <c r="D37" s="15" t="s">
        <v>44</v>
      </c>
    </row>
    <row r="38" customFormat="false" ht="15" hidden="false" customHeight="false" outlineLevel="0" collapsed="false">
      <c r="A38" s="9" t="s">
        <v>652</v>
      </c>
      <c r="B38" s="34" t="n">
        <f aca="false">276/1050</f>
        <v>0.262857142857143</v>
      </c>
      <c r="C38" s="8" t="s">
        <v>653</v>
      </c>
      <c r="D38" s="15" t="s">
        <v>654</v>
      </c>
    </row>
    <row r="39" customFormat="false" ht="15" hidden="false" customHeight="false" outlineLevel="0" collapsed="false">
      <c r="A39" s="9" t="s">
        <v>655</v>
      </c>
      <c r="B39" s="52" t="n">
        <v>0.05</v>
      </c>
      <c r="C39" s="8"/>
      <c r="D39" s="15" t="s">
        <v>656</v>
      </c>
    </row>
    <row r="40" customFormat="false" ht="15" hidden="false" customHeight="false" outlineLevel="0" collapsed="false">
      <c r="A40" s="9" t="s">
        <v>657</v>
      </c>
      <c r="B40" s="51" t="n">
        <f aca="false">7000/594</f>
        <v>11.7845117845118</v>
      </c>
      <c r="C40" s="8" t="s">
        <v>640</v>
      </c>
      <c r="D40" s="15" t="s">
        <v>65</v>
      </c>
    </row>
    <row r="41" customFormat="false" ht="15" hidden="false" customHeight="false" outlineLevel="0" collapsed="false">
      <c r="A41" s="9" t="s">
        <v>658</v>
      </c>
      <c r="B41" s="51" t="n">
        <f aca="false">14000/2112</f>
        <v>6.62878787878788</v>
      </c>
      <c r="C41" s="8" t="s">
        <v>643</v>
      </c>
      <c r="D41" s="15" t="s">
        <v>69</v>
      </c>
    </row>
    <row r="42" customFormat="false" ht="15" hidden="false" customHeight="false" outlineLevel="0" collapsed="false">
      <c r="A42" s="9" t="s">
        <v>659</v>
      </c>
      <c r="B42" s="52" t="n">
        <v>0.003</v>
      </c>
      <c r="C42" s="8"/>
      <c r="D42" s="15" t="s">
        <v>73</v>
      </c>
    </row>
    <row r="43" customFormat="false" ht="15" hidden="false" customHeight="false" outlineLevel="0" collapsed="false">
      <c r="A43" s="9" t="s">
        <v>660</v>
      </c>
      <c r="B43" s="34" t="n">
        <f aca="false">4840.7596950824/4234.64192</f>
        <v>1.14313318257672</v>
      </c>
      <c r="C43" s="8"/>
      <c r="D43" s="15" t="s">
        <v>661</v>
      </c>
    </row>
    <row r="44" customFormat="false" ht="15" hidden="false" customHeight="false" outlineLevel="0" collapsed="false">
      <c r="A44" s="9" t="s">
        <v>662</v>
      </c>
      <c r="B44" s="50" t="n">
        <v>3</v>
      </c>
      <c r="C44" s="8" t="s">
        <v>640</v>
      </c>
      <c r="D44" s="15" t="s">
        <v>663</v>
      </c>
    </row>
    <row r="45" customFormat="false" ht="19.4" hidden="false" customHeight="false" outlineLevel="0" collapsed="false">
      <c r="A45" s="9" t="s">
        <v>664</v>
      </c>
      <c r="B45" s="53" t="n">
        <v>612</v>
      </c>
      <c r="C45" s="8" t="s">
        <v>596</v>
      </c>
      <c r="D45" s="15" t="s">
        <v>665</v>
      </c>
    </row>
    <row r="46" customFormat="false" ht="15" hidden="false" customHeight="false" outlineLevel="0" collapsed="false">
      <c r="A46" s="9" t="s">
        <v>666</v>
      </c>
      <c r="B46" s="53" t="n">
        <v>164</v>
      </c>
      <c r="C46" s="8" t="s">
        <v>596</v>
      </c>
      <c r="D46" s="15" t="s">
        <v>667</v>
      </c>
    </row>
    <row r="47" customFormat="false" ht="15" hidden="false" customHeight="false" outlineLevel="0" collapsed="false">
      <c r="A47" s="9" t="s">
        <v>668</v>
      </c>
      <c r="B47" s="34" t="n">
        <f aca="false">2107/6227</f>
        <v>0.338365183876666</v>
      </c>
      <c r="C47" s="8" t="s">
        <v>640</v>
      </c>
      <c r="D47" s="15" t="s">
        <v>111</v>
      </c>
    </row>
    <row r="48" customFormat="false" ht="15" hidden="false" customHeight="false" outlineLevel="0" collapsed="false">
      <c r="A48" s="9" t="s">
        <v>669</v>
      </c>
      <c r="B48" s="50" t="n">
        <v>50</v>
      </c>
      <c r="C48" s="8" t="s">
        <v>670</v>
      </c>
      <c r="D48" s="15" t="s">
        <v>663</v>
      </c>
    </row>
    <row r="49" customFormat="false" ht="15" hidden="false" customHeight="false" outlineLevel="0" collapsed="false">
      <c r="A49" s="9" t="s">
        <v>671</v>
      </c>
      <c r="B49" s="51" t="n">
        <f aca="false">3080/2112</f>
        <v>1.45833333333333</v>
      </c>
      <c r="C49" s="8" t="s">
        <v>643</v>
      </c>
      <c r="D49" s="15" t="s">
        <v>147</v>
      </c>
    </row>
    <row r="50" customFormat="false" ht="15" hidden="false" customHeight="false" outlineLevel="0" collapsed="false">
      <c r="A50" s="9" t="s">
        <v>672</v>
      </c>
      <c r="B50" s="51" t="n">
        <f aca="false">2584/2112</f>
        <v>1.22348484848485</v>
      </c>
      <c r="C50" s="8" t="s">
        <v>643</v>
      </c>
      <c r="D50" s="15" t="s">
        <v>151</v>
      </c>
    </row>
    <row r="51" customFormat="false" ht="15" hidden="false" customHeight="false" outlineLevel="0" collapsed="false">
      <c r="A51" s="9" t="s">
        <v>673</v>
      </c>
      <c r="B51" s="42" t="n">
        <v>700</v>
      </c>
      <c r="C51" s="8" t="s">
        <v>674</v>
      </c>
      <c r="D51" s="15" t="s">
        <v>675</v>
      </c>
    </row>
    <row r="52" customFormat="false" ht="15" hidden="false" customHeight="false" outlineLevel="0" collapsed="false">
      <c r="A52" s="9" t="s">
        <v>676</v>
      </c>
      <c r="B52" s="52" t="n">
        <v>0.04</v>
      </c>
      <c r="C52" s="8"/>
      <c r="D52" s="15" t="s">
        <v>166</v>
      </c>
    </row>
    <row r="53" customFormat="false" ht="15" hidden="false" customHeight="false" outlineLevel="0" collapsed="false">
      <c r="A53" s="9" t="s">
        <v>677</v>
      </c>
      <c r="B53" s="52" t="n">
        <v>0.18</v>
      </c>
      <c r="C53" s="8"/>
      <c r="D53" s="15" t="s">
        <v>166</v>
      </c>
    </row>
    <row r="54" customFormat="false" ht="15" hidden="false" customHeight="false" outlineLevel="0" collapsed="false">
      <c r="A54" s="9" t="s">
        <v>678</v>
      </c>
      <c r="B54" s="52" t="n">
        <v>0.2</v>
      </c>
      <c r="C54" s="8"/>
      <c r="D54" s="15" t="s">
        <v>679</v>
      </c>
    </row>
    <row r="55" customFormat="false" ht="15" hidden="false" customHeight="false" outlineLevel="0" collapsed="false">
      <c r="A55" s="9" t="s">
        <v>680</v>
      </c>
      <c r="B55" s="48" t="n">
        <v>7</v>
      </c>
      <c r="C55" s="8" t="s">
        <v>681</v>
      </c>
      <c r="D55" s="15" t="s">
        <v>682</v>
      </c>
    </row>
    <row r="56" customFormat="false" ht="15" hidden="false" customHeight="false" outlineLevel="0" collapsed="false">
      <c r="A56" s="9" t="s">
        <v>683</v>
      </c>
      <c r="B56" s="52" t="n">
        <v>0.982</v>
      </c>
      <c r="C56" s="8"/>
      <c r="D56" s="15" t="s">
        <v>684</v>
      </c>
    </row>
    <row r="57" customFormat="false" ht="15" hidden="false" customHeight="false" outlineLevel="0" collapsed="false">
      <c r="A57" s="9" t="s">
        <v>685</v>
      </c>
      <c r="B57" s="50" t="n">
        <v>44.99</v>
      </c>
      <c r="C57" s="8" t="s">
        <v>640</v>
      </c>
      <c r="D57" s="15" t="s">
        <v>686</v>
      </c>
    </row>
    <row r="58" customFormat="false" ht="15" hidden="false" customHeight="false" outlineLevel="0" collapsed="false">
      <c r="A58" s="9" t="s">
        <v>687</v>
      </c>
      <c r="B58" s="48" t="n">
        <v>139829</v>
      </c>
      <c r="C58" s="8" t="s">
        <v>688</v>
      </c>
      <c r="D58" s="15" t="s">
        <v>85</v>
      </c>
    </row>
    <row r="59" customFormat="false" ht="15" hidden="false" customHeight="false" outlineLevel="0" collapsed="false">
      <c r="A59" s="9" t="s">
        <v>689</v>
      </c>
      <c r="B59" s="48" t="n">
        <v>3224.24</v>
      </c>
      <c r="C59" s="8" t="s">
        <v>688</v>
      </c>
      <c r="D59" s="15" t="s">
        <v>93</v>
      </c>
    </row>
    <row r="60" customFormat="false" ht="15" hidden="false" customHeight="false" outlineLevel="0" collapsed="false">
      <c r="A60" s="9" t="s">
        <v>690</v>
      </c>
      <c r="B60" s="48" t="n">
        <v>11237</v>
      </c>
      <c r="C60" s="8" t="s">
        <v>688</v>
      </c>
      <c r="D60" s="15" t="s">
        <v>691</v>
      </c>
    </row>
    <row r="61" customFormat="false" ht="15" hidden="false" customHeight="false" outlineLevel="0" collapsed="false">
      <c r="A61" s="9" t="s">
        <v>692</v>
      </c>
      <c r="B61" s="48" t="n">
        <v>4741.82</v>
      </c>
      <c r="C61" s="8" t="s">
        <v>688</v>
      </c>
      <c r="D61" s="15" t="s">
        <v>693</v>
      </c>
    </row>
    <row r="62" customFormat="false" ht="15" hidden="false" customHeight="false" outlineLevel="0" collapsed="false">
      <c r="A62" s="9" t="s">
        <v>694</v>
      </c>
      <c r="B62" s="48" t="n">
        <v>7096</v>
      </c>
      <c r="C62" s="8" t="s">
        <v>688</v>
      </c>
      <c r="D62" s="15" t="s">
        <v>106</v>
      </c>
    </row>
    <row r="63" customFormat="false" ht="15" hidden="false" customHeight="false" outlineLevel="0" collapsed="false">
      <c r="A63" s="9" t="s">
        <v>695</v>
      </c>
      <c r="B63" s="48" t="n">
        <v>9000</v>
      </c>
      <c r="C63" s="8" t="s">
        <v>688</v>
      </c>
      <c r="D63" s="15" t="s">
        <v>115</v>
      </c>
    </row>
    <row r="64" customFormat="false" ht="15" hidden="false" customHeight="false" outlineLevel="0" collapsed="false">
      <c r="A64" s="9" t="s">
        <v>696</v>
      </c>
      <c r="B64" s="48" t="n">
        <v>717.75</v>
      </c>
      <c r="C64" s="8" t="s">
        <v>688</v>
      </c>
      <c r="D64" s="15" t="s">
        <v>126</v>
      </c>
    </row>
    <row r="65" customFormat="false" ht="15" hidden="false" customHeight="false" outlineLevel="0" collapsed="false">
      <c r="A65" s="9" t="s">
        <v>697</v>
      </c>
      <c r="B65" s="48" t="n">
        <v>1090</v>
      </c>
      <c r="C65" s="8" t="s">
        <v>688</v>
      </c>
      <c r="D65" s="15" t="s">
        <v>131</v>
      </c>
    </row>
    <row r="66" customFormat="false" ht="15" hidden="false" customHeight="false" outlineLevel="0" collapsed="false">
      <c r="A66" s="9" t="s">
        <v>698</v>
      </c>
      <c r="B66" s="48" t="n">
        <v>6672.64</v>
      </c>
      <c r="C66" s="8" t="s">
        <v>688</v>
      </c>
      <c r="D66" s="1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2026-10-28T19:06:36Z</dcterms:created>
  <dc:creator>openpyxl</dc:creator>
  <dc:description/>
  <dc:language>en-US</dc:language>
  <cp:lastModifiedBy/>
  <dcterms:modified xsi:type="dcterms:W3CDTF">2026-10-28T19:06:36Z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