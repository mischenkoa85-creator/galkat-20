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шторис" sheetId="1" state="visible" r:id="rId3"/>
    <sheet name="Параметри" sheetId="2" state="visible" r:id="rId4"/>
    <sheet name="Стрінг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<sst xmlns="http://schemas.openxmlformats.org/spreadsheetml/2006/main" count="473" uniqueCount="316">
  <si>
    <t xml:space="preserve">Кошторис будівництва під ключ — СЕС на даху АБК, ТОВ МК «Антарес», інвертор Deye SUN-100K-G03 (100 кВт), DC до 1000 В</t>
  </si>
  <si>
    <t xml:space="preserve">Два варіанти: «Як є» — розкладка К1 з доміком на надбудові; «ДБН» — з драбинами П1, огородженням 0,6 м і ходовими доріжками. $ без ПДВ. Синій — вихідні дані, чорний — формули, зелений — з аркуша «Параметри».</t>
  </si>
  <si>
    <t xml:space="preserve">№</t>
  </si>
  <si>
    <t xml:space="preserve">Позиція</t>
  </si>
  <si>
    <t xml:space="preserve">Од.</t>
  </si>
  <si>
    <t xml:space="preserve">К-сть «Як є»</t>
  </si>
  <si>
    <t xml:space="preserve">К-сть «ДБН»</t>
  </si>
  <si>
    <t xml:space="preserve">Ціна, $</t>
  </si>
  <si>
    <t xml:space="preserve">Мито</t>
  </si>
  <si>
    <t xml:space="preserve">Сума «Як є», $</t>
  </si>
  <si>
    <t xml:space="preserve">Сума «ДБН», $</t>
  </si>
  <si>
    <t xml:space="preserve">Підстава</t>
  </si>
  <si>
    <t xml:space="preserve">1. Закупівля в Китаї, FOB — разом із замовленням СЕС цеху</t>
  </si>
  <si>
    <t xml:space="preserve">1.1</t>
  </si>
  <si>
    <t xml:space="preserve">Фотомодулі ZNSHINE ZXN8-BD132-730 (730 Вт, з виводами 1,2–1,4 м), з запасом 2 %</t>
  </si>
  <si>
    <t xml:space="preserve">шт</t>
  </si>
  <si>
    <t xml:space="preserve">кошторис під ключ 27.10, поз. 1.2</t>
  </si>
  <si>
    <t xml:space="preserve">1.2</t>
  </si>
  <si>
    <t xml:space="preserve">Кріплення на арці по даху: лаги, гільзи, шпильки, профілі, кутники, притиски, метизи</t>
  </si>
  <si>
    <t xml:space="preserve">модуль</t>
  </si>
  <si>
    <t xml:space="preserve">КП 26.10, на модуль</t>
  </si>
  <si>
    <t xml:space="preserve">1.3</t>
  </si>
  <si>
    <t xml:space="preserve">Кріплення «домік» схід–захід 15° на нижньому даху і надбудові: профілі, кронштейни, притиски, метизи</t>
  </si>
  <si>
    <t xml:space="preserve">розрахунок ГалКат 15° 22.10, на модуль</t>
  </si>
  <si>
    <t xml:space="preserve">1.4</t>
  </si>
  <si>
    <t xml:space="preserve">Кріплення на південних стінах: рейки, кронштейни з анкерами, притиски</t>
  </si>
  <si>
    <t xml:space="preserve">кошторис під ключ 27.10, поз. 1.3.2, на модуль</t>
  </si>
  <si>
    <t xml:space="preserve">1.5</t>
  </si>
  <si>
    <t xml:space="preserve">Кабелі DC H1Z2Z2-K 1×6 мм² (≈686 м), роз'єми MC4, металорукав</t>
  </si>
  <si>
    <t xml:space="preserve">стрінг</t>
  </si>
  <si>
    <t xml:space="preserve">кошторис під ключ 27.10, поз. 1.4, на стрінг</t>
  </si>
  <si>
    <t xml:space="preserve">1.6</t>
  </si>
  <si>
    <t xml:space="preserve">Лотки з кришками, фасонні, кріплення</t>
  </si>
  <si>
    <t xml:space="preserve">кошторис під ключ 27.10, поз. 1.7, на стрінг</t>
  </si>
  <si>
    <t xml:space="preserve">1.7</t>
  </si>
  <si>
    <t xml:space="preserve">Блискавкозахист: ПЗІП, провідники, затискачі</t>
  </si>
  <si>
    <t xml:space="preserve">кошторис під ключ 27.10, поз. 1.8, на модуль</t>
  </si>
  <si>
    <t xml:space="preserve">1.8</t>
  </si>
  <si>
    <t xml:space="preserve">Кабель RS485 2×2×0,75 в екрані — лічильник на вводі АБК → інвертор</t>
  </si>
  <si>
    <t xml:space="preserve">м</t>
  </si>
  <si>
    <t xml:space="preserve">специфікація Китай 26.10</t>
  </si>
  <si>
    <t xml:space="preserve">Разом закупівля в Китаї</t>
  </si>
  <si>
    <t xml:space="preserve">2. Наша комісія — супровід замовлення за договором комісії</t>
  </si>
  <si>
    <t xml:space="preserve">2.1</t>
  </si>
  <si>
    <t xml:space="preserve">Комісія від закупівлі в Китаї</t>
  </si>
  <si>
    <t xml:space="preserve">договір комісії</t>
  </si>
  <si>
    <t xml:space="preserve">Разом комісія</t>
  </si>
  <si>
    <t xml:space="preserve">3. Доставка до об'єкта, страхування, мито</t>
  </si>
  <si>
    <t xml:space="preserve">3.1</t>
  </si>
  <si>
    <t xml:space="preserve">Доставка модулів у контейнерах 40'HQ (594 модулі в контейнері)</t>
  </si>
  <si>
    <t xml:space="preserve">кошторис під ключ 27.10, поз. 3.2</t>
  </si>
  <si>
    <t xml:space="preserve">3.2</t>
  </si>
  <si>
    <t xml:space="preserve">Доставка кріплення, кабелів і лотків (частка контейнерів 40'HQ)</t>
  </si>
  <si>
    <t xml:space="preserve">кошторис під ключ 27.10, поз. 3.3</t>
  </si>
  <si>
    <t xml:space="preserve">3.3</t>
  </si>
  <si>
    <t xml:space="preserve">Страхування вантажу, крім модулів</t>
  </si>
  <si>
    <t xml:space="preserve">кошторис під ключ 27.10</t>
  </si>
  <si>
    <t xml:space="preserve">3.4</t>
  </si>
  <si>
    <t xml:space="preserve">Мито на товари, крім модулів (модулі — пільга «245»)</t>
  </si>
  <si>
    <t xml:space="preserve">ставки мита за кодами УКТ ЗЕД, як у кошторисі 27.10</t>
  </si>
  <si>
    <t xml:space="preserve">Разом доставка і мито</t>
  </si>
  <si>
    <t xml:space="preserve">4. Купуємо в Україні: інвертор, підключення, баласт, безпека покрівлі</t>
  </si>
  <si>
    <t xml:space="preserve">4.1</t>
  </si>
  <si>
    <t xml:space="preserve">Інвертор мережевий Deye SUN-100K-G03: 100 кВт, 3 фази 400 В, 6 MPPT, DC до 1000 В, IP65; DC-роз'єднувач, ПЗІП тип II на DC і AC</t>
  </si>
  <si>
    <t xml:space="preserve">220volt.com.ua, 28.10.2026, у наявності</t>
  </si>
  <si>
    <t xml:space="preserve">4.2</t>
  </si>
  <si>
    <t xml:space="preserve">Баластний блок 300×300×60 з муфтою і матом — під лаги арки, «домік», опори лотків (+1 %)</t>
  </si>
  <si>
    <t xml:space="preserve">рішення власника 26.10</t>
  </si>
  <si>
    <t xml:space="preserve">4.3</t>
  </si>
  <si>
    <t xml:space="preserve">Кабель ВВГнг 5×70 мм², мідь — інвертор → вступний щит АБК</t>
  </si>
  <si>
    <t xml:space="preserve">amperia.com.ua, 28.10.2026, у наявності</t>
  </si>
  <si>
    <t xml:space="preserve">4.4</t>
  </si>
  <si>
    <t xml:space="preserve">Щит СЕС біля вступного щита АБК: автоматичний вимикач 3P 200 А в корпусі IP54</t>
  </si>
  <si>
    <t xml:space="preserve">компл</t>
  </si>
  <si>
    <t xml:space="preserve">electroelan.dp.ua, 28.10.2026; 220volt.com.ua, 28.10.2026</t>
  </si>
  <si>
    <t xml:space="preserve">4.5</t>
  </si>
  <si>
    <t xml:space="preserve">Лічильник CHINT DTSU666 з трансформаторами струму 250 А на вводі АБК — обмеження видачі в мережу (Zero Export)</t>
  </si>
  <si>
    <t xml:space="preserve">hotline.ua (Технопоставка), 28.10.2026</t>
  </si>
  <si>
    <t xml:space="preserve">4.6</t>
  </si>
  <si>
    <t xml:space="preserve">Доставка матеріалів України на об'єкт</t>
  </si>
  <si>
    <t xml:space="preserve">блок</t>
  </si>
  <si>
    <t xml:space="preserve">кошторис під ключ 27.10, поз. 4.9, на блок</t>
  </si>
  <si>
    <t xml:space="preserve">4.7</t>
  </si>
  <si>
    <t xml:space="preserve">Драбина П1 на арку з поручнями над парапетом</t>
  </si>
  <si>
    <t xml:space="preserve">flagma.ua (ПП «Ліга», Київ), 28.10.2026</t>
  </si>
  <si>
    <t xml:space="preserve">4.8</t>
  </si>
  <si>
    <t xml:space="preserve">Площадка з огорожею 0,6 м на арці перед виходом на покрівлю</t>
  </si>
  <si>
    <t xml:space="preserve">ціна — за КП виробника драбини (поки немає)</t>
  </si>
  <si>
    <t xml:space="preserve">4.9</t>
  </si>
  <si>
    <t xml:space="preserve">Драбини П1 на надбудову сходів (2 шт.)</t>
  </si>
  <si>
    <t xml:space="preserve">4.10</t>
  </si>
  <si>
    <t xml:space="preserve">Огородження покрівлі 0,6 м, металеве</t>
  </si>
  <si>
    <t xml:space="preserve">prom.ua (Профі Фасад), 28.10.2026</t>
  </si>
  <si>
    <t xml:space="preserve">4.11</t>
  </si>
  <si>
    <t xml:space="preserve">Ходові доріжки 0,8 м — гумові плити 500×500×20 мм</t>
  </si>
  <si>
    <t xml:space="preserve">м²</t>
  </si>
  <si>
    <t xml:space="preserve">reziplit.in.ua, 28.10.2026</t>
  </si>
  <si>
    <t xml:space="preserve">Разом купуємо в Україні</t>
  </si>
  <si>
    <t xml:space="preserve">5. Роботи</t>
  </si>
  <si>
    <t xml:space="preserve">5.1</t>
  </si>
  <si>
    <t xml:space="preserve">Встановлення і наладка СЕС, електромонтажні роботи DC і AC, налаштування нульового експорту</t>
  </si>
  <si>
    <t xml:space="preserve">кВтп</t>
  </si>
  <si>
    <t xml:space="preserve">5.2</t>
  </si>
  <si>
    <t xml:space="preserve">Механізація: автокран і автовишка</t>
  </si>
  <si>
    <t xml:space="preserve">кошторис під ключ 27.10, поз. 5.2, на модуль</t>
  </si>
  <si>
    <t xml:space="preserve">5.3</t>
  </si>
  <si>
    <t xml:space="preserve">Витратні матеріали: наконечники, маркування, стяжки, ЗІЗ, вивезення упаковки</t>
  </si>
  <si>
    <t xml:space="preserve">кошторис під ключ 27.10, поз. 5.8, на модуль</t>
  </si>
  <si>
    <t xml:space="preserve">5.4</t>
  </si>
  <si>
    <t xml:space="preserve">Монтаж драбин П1, огородження з анкеруванням стійок до парапету, укладання доріжок</t>
  </si>
  <si>
    <t xml:space="preserve">люд.·год</t>
  </si>
  <si>
    <t xml:space="preserve">700 грн/люд.·год; трудомісткість — аркуш «Параметри»</t>
  </si>
  <si>
    <t xml:space="preserve">Разом роботи</t>
  </si>
  <si>
    <t xml:space="preserve">СОБІВАРТІСТЬ (розділи 1–5)</t>
  </si>
  <si>
    <t xml:space="preserve">6. Запас і винагорода генпідрядника</t>
  </si>
  <si>
    <t xml:space="preserve">6.1</t>
  </si>
  <si>
    <t xml:space="preserve">Запас</t>
  </si>
  <si>
    <t xml:space="preserve">6.2</t>
  </si>
  <si>
    <t xml:space="preserve">Винагорода генпідрядника</t>
  </si>
  <si>
    <t xml:space="preserve">Разом запас і винагорода</t>
  </si>
  <si>
    <t xml:space="preserve">РАЗОМ ПІД КЛЮЧ, $ без ПДВ</t>
  </si>
  <si>
    <t xml:space="preserve">ПДВ 20 % на всю суму</t>
  </si>
  <si>
    <t xml:space="preserve">РАЗОМ ПІД КЛЮЧ, $ з ПДВ</t>
  </si>
  <si>
    <t xml:space="preserve">ПДВ 20 %, якщо модулі ввозяться на замовника за пільгою «245»</t>
  </si>
  <si>
    <t xml:space="preserve">РАЗОМ ПІД КЛЮЧ, $ з ПДВ (з пільгою «245»)</t>
  </si>
  <si>
    <t xml:space="preserve">На 1 кВтп СЕС, $ без ПДВ</t>
  </si>
  <si>
    <t xml:space="preserve">7. Ефект СЕС для АБК</t>
  </si>
  <si>
    <t xml:space="preserve">Потужність СЕС, DC / AC 100 кВт</t>
  </si>
  <si>
    <t xml:space="preserve">Генерація модулів за рік (DC, повна модель K1)</t>
  </si>
  <si>
    <t xml:space="preserve">МВт·год</t>
  </si>
  <si>
    <t xml:space="preserve">Генерація на виході інвертора за рік</t>
  </si>
  <si>
    <t xml:space="preserve">Питома генерація</t>
  </si>
  <si>
    <t xml:space="preserve">кВт·год/кВтп</t>
  </si>
  <si>
    <t xml:space="preserve">Ціна 1 кВт·год без ПДВ</t>
  </si>
  <si>
    <t xml:space="preserve">$</t>
  </si>
  <si>
    <t xml:space="preserve">Економія за перший рік, $ без ПДВ</t>
  </si>
  <si>
    <t xml:space="preserve">Проста окупність, без ПДВ</t>
  </si>
  <si>
    <t xml:space="preserve">років</t>
  </si>
  <si>
    <t xml:space="preserve">Вартість під ключ на 1 МВт·год річної генерації</t>
  </si>
  <si>
    <t xml:space="preserve">Модулі: «Як є» — 143 шт. (11 стрінгів по 13), «ДБН» — 132 шт. (11 стрінгів по 12); на кожен MPPT інвертора — 2 стрінги, стрінг стін — на окремому MPPT. Перевірка напруг — аркуш «Стрінги».</t>
  </si>
  <si>
    <t xml:space="preserve">Інвертор — на північній стіні надбудови сходів, на нижньому даху (+10,0), у тіні; кабель AC — по стіні до вступного щита АБК. Струм інвертора на виході — до 159,4 А при 400 В (паспорт), вимикач 200 А, кабель 5×70 мм² мідь. Інвертор має DC-роз'єднувач і ПЗІП тип II на DC і AC.</t>
  </si>
  <si>
    <t xml:space="preserve">Робота без видачі в мережу: лічильник на вводі АБК і обмеження потужності інвертора (Zero Export). Про генеруючу установку без видачі в мережу повідомляють ОСР за Додатком 11 до Кодексу систем розподілу.</t>
  </si>
  <si>
    <t xml:space="preserve">Не входить: обстеження будівлі й несучої здатності покрівлі (постанова КМУ № 406), проєктна документація, ремонт покрівлі; у «ДБН» — площадка з огорожею на арці (поз. 4.8, ціна — за КП виробника драбини).</t>
  </si>
  <si>
    <t xml:space="preserve">Варіант «Як є» — без драбин П1, огородження 0,6 м і ходових доріжок (ДБН В.1.1-7:2016 п. 8.8–8.12, ДБН В.2.6-220:2017 п. 7.1.3).</t>
  </si>
  <si>
    <t xml:space="preserve">Параметри кошторису СЕС АБК — інвертор Deye SUN-100K-G03, 28.10.2026</t>
  </si>
  <si>
    <t xml:space="preserve">Синій — вихідні дані (можна змінювати), чорний — формули. $ без ПДВ, якщо не сказано інше.</t>
  </si>
  <si>
    <t xml:space="preserve">Кількості за варіантами</t>
  </si>
  <si>
    <t xml:space="preserve">«Як є»</t>
  </si>
  <si>
    <t xml:space="preserve">«ДБН»</t>
  </si>
  <si>
    <t xml:space="preserve">Джерело</t>
  </si>
  <si>
    <t xml:space="preserve">Модулів на арці основного блоку (по даху, лаги на баласті)</t>
  </si>
  <si>
    <t xml:space="preserve">3D-модель АБК 28.10: «Як є» — розкладка К1; «ДБН» — з ходовими доріжками</t>
  </si>
  <si>
    <t xml:space="preserve">Модулів на нижньому даху («домік» схід–захід 15°)</t>
  </si>
  <si>
    <t xml:space="preserve">33 місця; у «ДБН» 2 місця не добирають стрінга</t>
  </si>
  <si>
    <t xml:space="preserve">Модулів на надбудові сходів («домік» 15°)</t>
  </si>
  <si>
    <t xml:space="preserve">пн. частина 2 + пд. частина 4</t>
  </si>
  <si>
    <t xml:space="preserve">Модулів на південних стінах (вертикально)</t>
  </si>
  <si>
    <t xml:space="preserve">3D-модель АБК 28.10</t>
  </si>
  <si>
    <t xml:space="preserve">Модулів у стрінгах разом</t>
  </si>
  <si>
    <t xml:space="preserve">Модулів до поставки (+2 %)</t>
  </si>
  <si>
    <t xml:space="preserve">запас як у кошторисі 27.10</t>
  </si>
  <si>
    <t xml:space="preserve">Потужність СЕС, DC</t>
  </si>
  <si>
    <t xml:space="preserve">730 Вт × модулів</t>
  </si>
  <si>
    <t xml:space="preserve">Стрінгів</t>
  </si>
  <si>
    <t xml:space="preserve">по 2 на MPPT, 6 MPPT (аркуш «Стрінги»)</t>
  </si>
  <si>
    <t xml:space="preserve">Модулів у стрінгу</t>
  </si>
  <si>
    <t xml:space="preserve">Voc при −30 °C ≤ 1000 В; найбільша генерація при ≤ 12 стрінгах</t>
  </si>
  <si>
    <t xml:space="preserve">Кабель DC 1×6 від стрінгів до інвертора, «+» і «−»</t>
  </si>
  <si>
    <t xml:space="preserve">траса по даху до інвертора, +10 %, +4 м на вводи</t>
  </si>
  <si>
    <t xml:space="preserve">Генерація модулів за рік (DC)</t>
  </si>
  <si>
    <t xml:space="preserve">повна модель K1: Meteonorm 8.1, тіні DSM 0,25 м, байпас-діоди</t>
  </si>
  <si>
    <t xml:space="preserve">Баластних блоків до замовлення (+1 %)</t>
  </si>
  <si>
    <t xml:space="preserve">арка — як дах цеху; «домік» — 4 на модуль; опори лотків</t>
  </si>
  <si>
    <t xml:space="preserve">Кабель AC інвертор → вступний щит АБК</t>
  </si>
  <si>
    <t xml:space="preserve">з нижнього даху (+10,0) по стіні до вступного щита, +10 %</t>
  </si>
  <si>
    <t xml:space="preserve">Кабель RS485 лічильник → інвертор</t>
  </si>
  <si>
    <t xml:space="preserve">вздовж кабелю AC</t>
  </si>
  <si>
    <t xml:space="preserve">Драбина П1 на арку: перепад 4,8 м + поручні 1,0 м над парапетом</t>
  </si>
  <si>
    <t xml:space="preserve">ДБН В.1.1-7:2016 п. 8.8–8.10; 3D-модель АБК</t>
  </si>
  <si>
    <t xml:space="preserve">ДБН В.1.1-7:2016 табл. 5</t>
  </si>
  <si>
    <t xml:space="preserve">Драбини П1 на надбудову: 2,25 + 1,0 м і 1,35 + 1,0 м (з поручнями над парапетом)</t>
  </si>
  <si>
    <t xml:space="preserve">ДБН В.1.1-7:2016 п. 8.8; 3D-модель АБК</t>
  </si>
  <si>
    <t xml:space="preserve">Огородження покрівлі 0,6 м: захід і торці арки, парапети надбудови</t>
  </si>
  <si>
    <t xml:space="preserve">ДБН В.1.1-7:2016 п. 8.12, ДБН В.2.6-220:2017 п. 6.1.2; 3D-модель АБК</t>
  </si>
  <si>
    <t xml:space="preserve">Ходові доріжки 0,8 м: арка (2 доріжки + зв'язка) і прохід на нижньому даху</t>
  </si>
  <si>
    <t xml:space="preserve">ДБН В.2.6-220:2017 п. 7.1.3; 3D-модель АБК</t>
  </si>
  <si>
    <t xml:space="preserve">Монтаж драбин, площадки, огородження і доріжок</t>
  </si>
  <si>
    <t xml:space="preserve">драбини 2 × 16, огородження 99 м — 64 (стійки з анкерами через 1,2 м), доріжки 16; трудомісткість E-Systems</t>
  </si>
  <si>
    <t xml:space="preserve">Ставки і ціни</t>
  </si>
  <si>
    <t xml:space="preserve">Значення</t>
  </si>
  <si>
    <t xml:space="preserve">Потужність модуля ZNSHINE ZXN8-BD132-730</t>
  </si>
  <si>
    <t xml:space="preserve">Вт</t>
  </si>
  <si>
    <t xml:space="preserve">паспорт ZNSHINE</t>
  </si>
  <si>
    <t xml:space="preserve">Курс</t>
  </si>
  <si>
    <t xml:space="preserve">грн/$</t>
  </si>
  <si>
    <t xml:space="preserve">як у розрахунку генерації і кошторисі 27.10</t>
  </si>
  <si>
    <t xml:space="preserve">Запас модулів</t>
  </si>
  <si>
    <t xml:space="preserve">Фотомодуль ZNSHINE ZXN8-BD132-730, FOB</t>
  </si>
  <si>
    <t xml:space="preserve">$/шт</t>
  </si>
  <si>
    <t xml:space="preserve">кошторис під ключ 27.10, поз. 1.2 (КП ES-261026-01)</t>
  </si>
  <si>
    <t xml:space="preserve">Кріплення по даху на баласті, на модуль</t>
  </si>
  <si>
    <t xml:space="preserve">$/модуль</t>
  </si>
  <si>
    <t xml:space="preserve">КП 26.10: 21 500 $ на 1 925 модулів (лаги, гільзи, шпильки, профілі, кутники, притиски, метизи)</t>
  </si>
  <si>
    <t xml:space="preserve">Кріплення «домік» / трикутники 15°, на модуль</t>
  </si>
  <si>
    <t xml:space="preserve">розрахунок ГалКат 15° 22.10: 11 211 $ на 1 260 модулів + 4 притиски по 0,50 $</t>
  </si>
  <si>
    <t xml:space="preserve">Кріплення на стіні: рейки, кронштейни, притиски, на модуль</t>
  </si>
  <si>
    <t xml:space="preserve">кошторис під ключ 27.10, поз. 1.3.2 (рейки, притиски, кронштейни ліхтарів): 2 555 $ на 297 модулів</t>
  </si>
  <si>
    <t xml:space="preserve">Кабелі DC 1×6, MC4, металорукав, на стрінг</t>
  </si>
  <si>
    <t xml:space="preserve">$/стрінг</t>
  </si>
  <si>
    <t xml:space="preserve">кошторис під ключ 27.10, поз. 1.4: 11 520 $ на 192 стрінги</t>
  </si>
  <si>
    <t xml:space="preserve">Лотки, кришки, фасонні, кріплення, на стрінг</t>
  </si>
  <si>
    <t xml:space="preserve">кошторис під ключ 27.10, поз. 1.7: 12 398 $ на 192 стрінги</t>
  </si>
  <si>
    <t xml:space="preserve">Блискавкозахист: ПЗІП, провідники, затискачі, на модуль</t>
  </si>
  <si>
    <t xml:space="preserve">кошторис під ключ 27.10, поз. 1.8: 2 400 $ на 2 112 модулів</t>
  </si>
  <si>
    <t xml:space="preserve">Кабель RS485 2×2×0,75 в екрані, FOB</t>
  </si>
  <si>
    <t xml:space="preserve">$/м</t>
  </si>
  <si>
    <t xml:space="preserve">специфікація замовлення в Китаї 26.10: 276 $ FOB за 1 050 м</t>
  </si>
  <si>
    <t xml:space="preserve">Наша комісія від закупівлі в Китаї</t>
  </si>
  <si>
    <t xml:space="preserve">Доставка модулів: 40'HQ Шанхай → об'єкт / 594 модулі</t>
  </si>
  <si>
    <t xml:space="preserve">Доставка кріплення, кабелів, лотків, на модуль</t>
  </si>
  <si>
    <t xml:space="preserve">кошторис під ключ 27.10, поз. 3.3: 2 контейнери на 2 112 модулів</t>
  </si>
  <si>
    <t xml:space="preserve">Коефіцієнт митної вартості (доставка до кордону, страхування)</t>
  </si>
  <si>
    <t xml:space="preserve">кошторис під ключ 27.10: мито 4 840,76 $ / сума FOB × ставки</t>
  </si>
  <si>
    <t xml:space="preserve">Баластний блок 300×300×60 з муфтою і матом</t>
  </si>
  <si>
    <t xml:space="preserve">Блоків на модуль арки (під лаги, кінці лаг, крайні профілі)</t>
  </si>
  <si>
    <t xml:space="preserve">кошторис під ключ 27.10, поз. 4.1–4.2 на 1 639 модулів даху цеху</t>
  </si>
  <si>
    <t xml:space="preserve">Блоків на модуль «доміку»</t>
  </si>
  <si>
    <t xml:space="preserve">4 опори на модуль, як у розрахунку АБК 28.10</t>
  </si>
  <si>
    <t xml:space="preserve">Блоків під опори лотків, на стрінг</t>
  </si>
  <si>
    <t xml:space="preserve">кошторис під ключ 27.10, поз. 4.3</t>
  </si>
  <si>
    <t xml:space="preserve">Доставка матеріалів України на об'єкт, на блок</t>
  </si>
  <si>
    <t xml:space="preserve">кошторис під ключ 27.10, поз. 4.9</t>
  </si>
  <si>
    <t xml:space="preserve">Встановлення і наладка СЕС, електромонтаж DC і AC</t>
  </si>
  <si>
    <t xml:space="preserve">$/кВтп</t>
  </si>
  <si>
    <t xml:space="preserve">Механізація: автокран і автовишка, на модуль</t>
  </si>
  <si>
    <t xml:space="preserve">кошторис під ключ 27.10, поз. 5.2</t>
  </si>
  <si>
    <t xml:space="preserve">Витратні: наконечники, маркування, стяжки, ЗІЗ, вивезення упаковки, на модуль</t>
  </si>
  <si>
    <t xml:space="preserve">кошторис під ключ 27.10, поз. 5.8</t>
  </si>
  <si>
    <t xml:space="preserve">Ставка монтажника</t>
  </si>
  <si>
    <t xml:space="preserve">грн/люд.·год</t>
  </si>
  <si>
    <t xml:space="preserve">ставка власника для КП</t>
  </si>
  <si>
    <t xml:space="preserve">Запас, від собівартості</t>
  </si>
  <si>
    <t xml:space="preserve">Винагорода генпідрядника, від собівартості</t>
  </si>
  <si>
    <t xml:space="preserve">ПДВ</t>
  </si>
  <si>
    <t xml:space="preserve">ПКУ, ст. 193</t>
  </si>
  <si>
    <t xml:space="preserve">Ціна 1 кВт·год для АБК, з ПДВ</t>
  </si>
  <si>
    <t xml:space="preserve">грн</t>
  </si>
  <si>
    <t xml:space="preserve">оцінка власника (як у розрахунках K1)</t>
  </si>
  <si>
    <t xml:space="preserve">ККД інвертора Deye SUN-100K-G03 (європейський)</t>
  </si>
  <si>
    <t xml:space="preserve">паспорт Deye SUN-70~110K-G03 (deye.com): Euro 98,2 %, макс. 98,8 %</t>
  </si>
  <si>
    <t xml:space="preserve">Інвертор Deye SUN-100K-G03</t>
  </si>
  <si>
    <t xml:space="preserve">грн з ПДВ</t>
  </si>
  <si>
    <t xml:space="preserve">Кабель ВВГнг 5×70 мм², ГАЛ-КАТ, за 1 м</t>
  </si>
  <si>
    <t xml:space="preserve">Автоматичний вимикач ABB FormulA A2B 250 TMF 200 (200 А, 18 кА)</t>
  </si>
  <si>
    <t xml:space="preserve">electroelan.dp.ua, 28.10.2026</t>
  </si>
  <si>
    <t xml:space="preserve">Корпус IEK ЩМП-4.6.2-0 74 У2, 400×600×250, IP54</t>
  </si>
  <si>
    <t xml:space="preserve">220volt.com.ua, 28.10.2026</t>
  </si>
  <si>
    <t xml:space="preserve">Лічильник CHINT DTSU666 з трансформаторами струму NCTK 250 А, комплект</t>
  </si>
  <si>
    <t xml:space="preserve">Драбина пожежна металева, за 1 м</t>
  </si>
  <si>
    <t xml:space="preserve">Огородження покрівлі OBERIG H 600 мм, сталь з порошковим покриттям, за 1 м</t>
  </si>
  <si>
    <t xml:space="preserve">Плитка гумова 500×500×20 мм, за 1 м²</t>
  </si>
  <si>
    <t xml:space="preserve">Стрінги і MPPT інвертора Deye SUN-100K-G03 — перевірка напруг і струмів</t>
  </si>
  <si>
    <t xml:space="preserve">Модуль ZNSHINE ZXN8-BD132-730: Voc 49,5 В, Vmp 41,7 В, Imp 17,51 А, Isc 18,51 А; Voc −0,25 %/K, Pmax −0,30 %/K. Інвертор: DC до 1000 В, старт 250 В, MPPT 200–850 В, 40 А і 60 А (Isc) на MPPT, 6 MPPT по 2 стрінги.</t>
  </si>
  <si>
    <t xml:space="preserve">Voc модуля, В</t>
  </si>
  <si>
    <t xml:space="preserve">Коеф. Voc, %/K</t>
  </si>
  <si>
    <t xml:space="preserve">Мінімальна температура модуля, °C</t>
  </si>
  <si>
    <t xml:space="preserve">Vmp при 70 °C, В</t>
  </si>
  <si>
    <t xml:space="preserve">Vmp при −10 °C, В</t>
  </si>
  <si>
    <t xml:space="preserve">Imp, А</t>
  </si>
  <si>
    <t xml:space="preserve">Isc, А</t>
  </si>
  <si>
    <t xml:space="preserve">Інвертор: макс. напруга DC, В</t>
  </si>
  <si>
    <t xml:space="preserve">Інвертор: MPPT від, В</t>
  </si>
  <si>
    <t xml:space="preserve">Інвертор: MPPT до, В</t>
  </si>
  <si>
    <t xml:space="preserve">Інвертор: старт, В</t>
  </si>
  <si>
    <t xml:space="preserve">Інвертор: струм на MPPT, А</t>
  </si>
  <si>
    <t xml:space="preserve">Інвертор: Isc на MPPT, А</t>
  </si>
  <si>
    <t xml:space="preserve">Варіант</t>
  </si>
  <si>
    <t xml:space="preserve">Voc при −30 °C, В</t>
  </si>
  <si>
    <t xml:space="preserve">≤ 1000 В</t>
  </si>
  <si>
    <t xml:space="preserve">≥ 200 В і старт 250 В</t>
  </si>
  <si>
    <t xml:space="preserve">≤ 850 В</t>
  </si>
  <si>
    <t xml:space="preserve">Imp на MPPT (2 стрінги), А</t>
  </si>
  <si>
    <t xml:space="preserve">≤ 40 А</t>
  </si>
  <si>
    <t xml:space="preserve">Isc на MPPT, А</t>
  </si>
  <si>
    <t xml:space="preserve">≤ 60 А</t>
  </si>
  <si>
    <t xml:space="preserve">Стрінг</t>
  </si>
  <si>
    <t xml:space="preserve">MPPT</t>
  </si>
  <si>
    <t xml:space="preserve">Модулів</t>
  </si>
  <si>
    <t xml:space="preserve">Де</t>
  </si>
  <si>
    <t xml:space="preserve">Грані</t>
  </si>
  <si>
    <t xml:space="preserve">Нахил, °</t>
  </si>
  <si>
    <t xml:space="preserve">Генерація, МВт·год</t>
  </si>
  <si>
    <t xml:space="preserve">Втрати невідповідності, %</t>
  </si>
  <si>
    <t xml:space="preserve">Кабель DC «+» і «−», м</t>
  </si>
  <si>
    <t xml:space="preserve">S3</t>
  </si>
  <si>
    <t xml:space="preserve">арка</t>
  </si>
  <si>
    <t xml:space="preserve">схід</t>
  </si>
  <si>
    <t xml:space="preserve">S4</t>
  </si>
  <si>
    <t xml:space="preserve">S5</t>
  </si>
  <si>
    <t xml:space="preserve">S10</t>
  </si>
  <si>
    <t xml:space="preserve">арка + нижній дах</t>
  </si>
  <si>
    <t xml:space="preserve">S2</t>
  </si>
  <si>
    <t xml:space="preserve">захід</t>
  </si>
  <si>
    <t xml:space="preserve">S8</t>
  </si>
  <si>
    <t xml:space="preserve">S1</t>
  </si>
  <si>
    <t xml:space="preserve">S9</t>
  </si>
  <si>
    <t xml:space="preserve">S6</t>
  </si>
  <si>
    <t xml:space="preserve">нижній дах + надбудова</t>
  </si>
  <si>
    <t xml:space="preserve">S7</t>
  </si>
  <si>
    <t xml:space="preserve">S11</t>
  </si>
  <si>
    <t xml:space="preserve">нижній дах + стіни</t>
  </si>
  <si>
    <t xml:space="preserve">схід, південь, захід</t>
  </si>
  <si>
    <t xml:space="preserve">Разом «Як є»</t>
  </si>
  <si>
    <t xml:space="preserve">арка + нижній дах + надбудова</t>
  </si>
  <si>
    <t xml:space="preserve">нижній дах + надбудова + стіни</t>
  </si>
  <si>
    <t xml:space="preserve">Разом «ДБН»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</si>
</sst>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##;\(#,##0.##\);\-"/>
    <numFmt numFmtId="166" formatCode="#,##0.00;\(#,##0.00\);\-"/>
    <numFmt numFmtId="167" formatCode="0.0%;;\-"/>
    <numFmt numFmtId="168" formatCode="#,##0;\(#,##0\);\-"/>
    <numFmt numFmtId="169" formatCode="0.00"/>
    <numFmt numFmtId="170" formatCode="0.0%"/>
    <numFmt numFmtId="171" formatCode="0.0000"/>
    <numFmt numFmtId="172" formatCode="#,##0.00"/>
    <numFmt numFmtId="173" formatCode="#,##0.0"/>
    <numFmt numFmtId="174" formatCode="#,##0"/>
    <numFmt numFmtId="175" formatCode="0.0"/>
    <numFmt numFmtId="17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8"/>
      <color rgb="FF5B677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6EBF0"/>
        <bgColor rgb="FFE3EDF3"/>
      </patternFill>
    </fill>
    <fill>
      <patternFill patternType="solid">
        <fgColor rgb="FFF3F5F7"/>
        <bgColor rgb="FFF7F7F7"/>
      </patternFill>
    </fill>
    <fill>
      <patternFill patternType="solid">
        <fgColor rgb="FFFFFF00"/>
        <bgColor rgb="FFFFFF00"/>
      </patternFill>
    </fill>
    <fill>
      <patternFill patternType="solid">
        <fgColor rgb="FFE3EDF3"/>
        <bgColor rgb="FFE6EBF0"/>
      </patternFill>
    </fill>
    <fill>
      <patternFill patternType="solid">
        <fgColor rgb="FFF7F7F7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CCD3"/>
      </left>
      <right style="thin">
        <color rgb="FFC4CCD3"/>
      </right>
      <top style="thin">
        <color rgb="FFC4CCD3"/>
      </top>
      <bottom style="thin">
        <color rgb="FFC4CC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CD3"/>
      <rgbColor rgb="FF808080"/>
      <rgbColor rgb="FF9999FF"/>
      <rgbColor rgb="FF993366"/>
      <rgbColor rgb="FFF3F5F7"/>
      <rgbColor rgb="FFE3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B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7"/>
    <col collapsed="false" customWidth="true" hidden="false" outlineLevel="0" max="9" min="8" style="0" width="13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22.35" hidden="false" customHeight="false" outlineLevel="0" collapsed="false">
      <c r="A6" s="6" t="s">
        <v>13</v>
      </c>
      <c r="B6" s="7" t="s">
        <v>14</v>
      </c>
      <c r="C6" s="6" t="s">
        <v>15</v>
      </c>
      <c r="D6" s="8" t="n">
        <f aca="false">Параметри!B10</f>
        <v>146</v>
      </c>
      <c r="E6" s="8" t="n">
        <f aca="false">Параметри!C10</f>
        <v>135</v>
      </c>
      <c r="F6" s="9" t="n">
        <f aca="false">Параметри!$B$30</f>
        <v>73</v>
      </c>
      <c r="G6" s="10" t="n">
        <v>0</v>
      </c>
      <c r="H6" s="11" t="n">
        <f aca="false">D6*F6</f>
        <v>10658</v>
      </c>
      <c r="I6" s="11" t="n">
        <f aca="false">E6*F6</f>
        <v>9855</v>
      </c>
      <c r="J6" s="12" t="s">
        <v>16</v>
      </c>
    </row>
    <row r="7" customFormat="false" ht="22.35" hidden="false" customHeight="false" outlineLevel="0" collapsed="false">
      <c r="A7" s="6" t="s">
        <v>17</v>
      </c>
      <c r="B7" s="7" t="s">
        <v>18</v>
      </c>
      <c r="C7" s="6" t="s">
        <v>19</v>
      </c>
      <c r="D7" s="8" t="n">
        <f aca="false">Параметри!B5</f>
        <v>95</v>
      </c>
      <c r="E7" s="8" t="n">
        <f aca="false">Параметри!C5</f>
        <v>86</v>
      </c>
      <c r="F7" s="9" t="n">
        <f aca="false">Параметри!$B$31</f>
        <v>11.1688311688312</v>
      </c>
      <c r="G7" s="10" t="n">
        <v>0.008</v>
      </c>
      <c r="H7" s="11" t="n">
        <f aca="false">D7*F7</f>
        <v>1061.03896103896</v>
      </c>
      <c r="I7" s="11" t="n">
        <f aca="false">E7*F7</f>
        <v>960.519480519481</v>
      </c>
      <c r="J7" s="12" t="s">
        <v>20</v>
      </c>
    </row>
    <row r="8" customFormat="false" ht="22.35" hidden="false" customHeight="false" outlineLevel="0" collapsed="false">
      <c r="A8" s="6" t="s">
        <v>21</v>
      </c>
      <c r="B8" s="7" t="s">
        <v>22</v>
      </c>
      <c r="C8" s="6" t="s">
        <v>19</v>
      </c>
      <c r="D8" s="8" t="n">
        <f aca="false">Параметри!B6+Параметри!B7</f>
        <v>39</v>
      </c>
      <c r="E8" s="8" t="n">
        <f aca="false">Параметри!C6+Параметри!C7</f>
        <v>37</v>
      </c>
      <c r="F8" s="9" t="n">
        <f aca="false">Параметри!$B$32</f>
        <v>10.897619047619</v>
      </c>
      <c r="G8" s="10" t="n">
        <v>0.008</v>
      </c>
      <c r="H8" s="11" t="n">
        <f aca="false">D8*F8</f>
        <v>425.007142857143</v>
      </c>
      <c r="I8" s="11" t="n">
        <f aca="false">E8*F8</f>
        <v>403.211904761905</v>
      </c>
      <c r="J8" s="12" t="s">
        <v>23</v>
      </c>
    </row>
    <row r="9" customFormat="false" ht="15" hidden="false" customHeight="false" outlineLevel="0" collapsed="false">
      <c r="A9" s="6" t="s">
        <v>24</v>
      </c>
      <c r="B9" s="7" t="s">
        <v>25</v>
      </c>
      <c r="C9" s="6" t="s">
        <v>19</v>
      </c>
      <c r="D9" s="8" t="n">
        <f aca="false">Параметри!B8</f>
        <v>9</v>
      </c>
      <c r="E9" s="8" t="n">
        <f aca="false">Параметри!C8</f>
        <v>9</v>
      </c>
      <c r="F9" s="9" t="n">
        <f aca="false">Параметри!$B$33</f>
        <v>8.6026936026936</v>
      </c>
      <c r="G9" s="10" t="n">
        <v>0.008</v>
      </c>
      <c r="H9" s="11" t="n">
        <f aca="false">D9*F9</f>
        <v>77.4242424242424</v>
      </c>
      <c r="I9" s="11" t="n">
        <f aca="false">E9*F9</f>
        <v>77.4242424242424</v>
      </c>
      <c r="J9" s="12" t="s">
        <v>26</v>
      </c>
    </row>
    <row r="10" customFormat="false" ht="15" hidden="false" customHeight="false" outlineLevel="0" collapsed="false">
      <c r="A10" s="6" t="s">
        <v>27</v>
      </c>
      <c r="B10" s="7" t="s">
        <v>28</v>
      </c>
      <c r="C10" s="6" t="s">
        <v>29</v>
      </c>
      <c r="D10" s="8" t="n">
        <f aca="false">Параметри!B12</f>
        <v>11</v>
      </c>
      <c r="E10" s="8" t="n">
        <f aca="false">Параметри!C12</f>
        <v>11</v>
      </c>
      <c r="F10" s="9" t="n">
        <f aca="false">Параметри!$B$34</f>
        <v>60</v>
      </c>
      <c r="G10" s="10" t="n">
        <v>0.067</v>
      </c>
      <c r="H10" s="11" t="n">
        <f aca="false">D10*F10</f>
        <v>660</v>
      </c>
      <c r="I10" s="11" t="n">
        <f aca="false">E10*F10</f>
        <v>660</v>
      </c>
      <c r="J10" s="12" t="s">
        <v>30</v>
      </c>
    </row>
    <row r="11" customFormat="false" ht="15" hidden="false" customHeight="false" outlineLevel="0" collapsed="false">
      <c r="A11" s="6" t="s">
        <v>31</v>
      </c>
      <c r="B11" s="7" t="s">
        <v>32</v>
      </c>
      <c r="C11" s="6" t="s">
        <v>29</v>
      </c>
      <c r="D11" s="8" t="n">
        <f aca="false">Параметри!B12</f>
        <v>11</v>
      </c>
      <c r="E11" s="8" t="n">
        <f aca="false">Параметри!C12</f>
        <v>11</v>
      </c>
      <c r="F11" s="9" t="n">
        <f aca="false">Параметри!$B$35</f>
        <v>64.5729166666667</v>
      </c>
      <c r="G11" s="10" t="n">
        <v>0.001</v>
      </c>
      <c r="H11" s="11" t="n">
        <f aca="false">D11*F11</f>
        <v>710.302083333333</v>
      </c>
      <c r="I11" s="11" t="n">
        <f aca="false">E11*F11</f>
        <v>710.302083333333</v>
      </c>
      <c r="J11" s="12" t="s">
        <v>33</v>
      </c>
    </row>
    <row r="12" customFormat="false" ht="15" hidden="false" customHeight="false" outlineLevel="0" collapsed="false">
      <c r="A12" s="6" t="s">
        <v>34</v>
      </c>
      <c r="B12" s="7" t="s">
        <v>35</v>
      </c>
      <c r="C12" s="6" t="s">
        <v>19</v>
      </c>
      <c r="D12" s="8" t="n">
        <f aca="false">Параметри!B9</f>
        <v>143</v>
      </c>
      <c r="E12" s="8" t="n">
        <f aca="false">Параметри!C9</f>
        <v>132</v>
      </c>
      <c r="F12" s="9" t="n">
        <f aca="false">Параметри!$B$36</f>
        <v>1.13636363636364</v>
      </c>
      <c r="G12" s="10" t="n">
        <v>0.05</v>
      </c>
      <c r="H12" s="11" t="n">
        <f aca="false">D12*F12</f>
        <v>162.5</v>
      </c>
      <c r="I12" s="11" t="n">
        <f aca="false">E12*F12</f>
        <v>150</v>
      </c>
      <c r="J12" s="12" t="s">
        <v>36</v>
      </c>
    </row>
    <row r="13" customFormat="false" ht="15" hidden="false" customHeight="false" outlineLevel="0" collapsed="false">
      <c r="A13" s="6" t="s">
        <v>37</v>
      </c>
      <c r="B13" s="7" t="s">
        <v>38</v>
      </c>
      <c r="C13" s="6" t="s">
        <v>39</v>
      </c>
      <c r="D13" s="8" t="n">
        <f aca="false">Параметри!B18</f>
        <v>55</v>
      </c>
      <c r="E13" s="8" t="n">
        <f aca="false">Параметри!C18</f>
        <v>55</v>
      </c>
      <c r="F13" s="13" t="n">
        <f aca="false">Параметри!$B$37</f>
        <v>0.262857142857143</v>
      </c>
      <c r="G13" s="10" t="n">
        <v>0.1</v>
      </c>
      <c r="H13" s="11" t="n">
        <f aca="false">D13*F13</f>
        <v>14.4571428571429</v>
      </c>
      <c r="I13" s="11" t="n">
        <f aca="false">E13*F13</f>
        <v>14.4571428571429</v>
      </c>
      <c r="J13" s="12" t="s">
        <v>40</v>
      </c>
    </row>
    <row r="14" customFormat="false" ht="15" hidden="false" customHeight="false" outlineLevel="0" collapsed="false">
      <c r="A14" s="14"/>
      <c r="B14" s="15" t="s">
        <v>41</v>
      </c>
      <c r="C14" s="14"/>
      <c r="D14" s="14"/>
      <c r="E14" s="14"/>
      <c r="F14" s="14"/>
      <c r="G14" s="14"/>
      <c r="H14" s="16" t="n">
        <f aca="false">SUM(H6:H13)</f>
        <v>13768.7295725108</v>
      </c>
      <c r="I14" s="16" t="n">
        <f aca="false">SUM(I6:I13)</f>
        <v>12830.9148538961</v>
      </c>
      <c r="J14" s="14"/>
    </row>
    <row r="15" customFormat="false" ht="15" hidden="false" customHeight="false" outlineLevel="0" collapsed="false">
      <c r="A15" s="4" t="s">
        <v>42</v>
      </c>
      <c r="B15" s="5"/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A16" s="6" t="s">
        <v>43</v>
      </c>
      <c r="B16" s="7" t="s">
        <v>44</v>
      </c>
      <c r="C16" s="6"/>
      <c r="D16" s="17"/>
      <c r="E16" s="17"/>
      <c r="F16" s="18" t="n">
        <f aca="false">Параметри!$B$38</f>
        <v>0.05</v>
      </c>
      <c r="G16" s="10"/>
      <c r="H16" s="11" t="n">
        <f aca="false">H14*F16</f>
        <v>688.436478625541</v>
      </c>
      <c r="I16" s="11" t="n">
        <f aca="false">I14*F16</f>
        <v>641.545742694805</v>
      </c>
      <c r="J16" s="12" t="s">
        <v>45</v>
      </c>
    </row>
    <row r="17" customFormat="false" ht="15" hidden="false" customHeight="false" outlineLevel="0" collapsed="false">
      <c r="A17" s="14"/>
      <c r="B17" s="15" t="s">
        <v>46</v>
      </c>
      <c r="C17" s="14"/>
      <c r="D17" s="14"/>
      <c r="E17" s="14"/>
      <c r="F17" s="14"/>
      <c r="G17" s="14"/>
      <c r="H17" s="16" t="n">
        <f aca="false">H16</f>
        <v>688.436478625541</v>
      </c>
      <c r="I17" s="16" t="n">
        <f aca="false">I16</f>
        <v>641.545742694805</v>
      </c>
      <c r="J17" s="14"/>
    </row>
    <row r="18" customFormat="false" ht="15" hidden="false" customHeight="false" outlineLevel="0" collapsed="false">
      <c r="A18" s="4" t="s">
        <v>47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6" t="s">
        <v>48</v>
      </c>
      <c r="B19" s="7" t="s">
        <v>49</v>
      </c>
      <c r="C19" s="6" t="s">
        <v>15</v>
      </c>
      <c r="D19" s="8" t="n">
        <f aca="false">Параметри!B10</f>
        <v>146</v>
      </c>
      <c r="E19" s="8" t="n">
        <f aca="false">Параметри!C10</f>
        <v>135</v>
      </c>
      <c r="F19" s="9" t="n">
        <f aca="false">Параметри!$B$39</f>
        <v>11.7845117845118</v>
      </c>
      <c r="G19" s="10"/>
      <c r="H19" s="11" t="n">
        <f aca="false">D19*F19</f>
        <v>1720.53872053872</v>
      </c>
      <c r="I19" s="11" t="n">
        <f aca="false">E19*F19</f>
        <v>1590.90909090909</v>
      </c>
      <c r="J19" s="12" t="s">
        <v>50</v>
      </c>
    </row>
    <row r="20" customFormat="false" ht="15" hidden="false" customHeight="false" outlineLevel="0" collapsed="false">
      <c r="A20" s="6" t="s">
        <v>51</v>
      </c>
      <c r="B20" s="7" t="s">
        <v>52</v>
      </c>
      <c r="C20" s="6" t="s">
        <v>19</v>
      </c>
      <c r="D20" s="8" t="n">
        <f aca="false">Параметри!B9</f>
        <v>143</v>
      </c>
      <c r="E20" s="8" t="n">
        <f aca="false">Параметри!C9</f>
        <v>132</v>
      </c>
      <c r="F20" s="9" t="n">
        <f aca="false">Параметри!$B$40</f>
        <v>6.62878787878788</v>
      </c>
      <c r="G20" s="10"/>
      <c r="H20" s="11" t="n">
        <f aca="false">D20*F20</f>
        <v>947.916666666667</v>
      </c>
      <c r="I20" s="11" t="n">
        <f aca="false">E20*F20</f>
        <v>875</v>
      </c>
      <c r="J20" s="12" t="s">
        <v>53</v>
      </c>
    </row>
    <row r="21" customFormat="false" ht="15" hidden="false" customHeight="false" outlineLevel="0" collapsed="false">
      <c r="A21" s="6" t="s">
        <v>54</v>
      </c>
      <c r="B21" s="7" t="s">
        <v>55</v>
      </c>
      <c r="C21" s="6"/>
      <c r="D21" s="17"/>
      <c r="E21" s="17"/>
      <c r="F21" s="18" t="n">
        <f aca="false">Параметри!$B$41</f>
        <v>0.003</v>
      </c>
      <c r="G21" s="10"/>
      <c r="H21" s="11" t="n">
        <f aca="false">(H14-H6)*F21</f>
        <v>9.33218871753247</v>
      </c>
      <c r="I21" s="11" t="n">
        <f aca="false">(I14-I6)*F21</f>
        <v>8.92774456168832</v>
      </c>
      <c r="J21" s="12" t="s">
        <v>56</v>
      </c>
    </row>
    <row r="22" customFormat="false" ht="15" hidden="false" customHeight="false" outlineLevel="0" collapsed="false">
      <c r="A22" s="6" t="s">
        <v>57</v>
      </c>
      <c r="B22" s="7" t="s">
        <v>58</v>
      </c>
      <c r="C22" s="6"/>
      <c r="D22" s="17"/>
      <c r="E22" s="17"/>
      <c r="F22" s="19" t="n">
        <f aca="false">Параметри!$B$42</f>
        <v>1.14313318257672</v>
      </c>
      <c r="G22" s="10"/>
      <c r="H22" s="11" t="n">
        <f aca="false">SUMPRODUCT(G6:G13,H6:H13)*F22</f>
        <v>76.5999589584435</v>
      </c>
      <c r="I22" s="11" t="n">
        <f aca="false">SUMPRODUCT(G6:G13,I6:I13)*F22</f>
        <v>74.7669246108049</v>
      </c>
      <c r="J22" s="12" t="s">
        <v>59</v>
      </c>
    </row>
    <row r="23" customFormat="false" ht="15" hidden="false" customHeight="false" outlineLevel="0" collapsed="false">
      <c r="A23" s="14"/>
      <c r="B23" s="15" t="s">
        <v>60</v>
      </c>
      <c r="C23" s="14"/>
      <c r="D23" s="14"/>
      <c r="E23" s="14"/>
      <c r="F23" s="14"/>
      <c r="G23" s="14"/>
      <c r="H23" s="16" t="n">
        <f aca="false">SUM(H19:H22)</f>
        <v>2754.38753488136</v>
      </c>
      <c r="I23" s="16" t="n">
        <f aca="false">SUM(I19:I22)</f>
        <v>2549.60376008158</v>
      </c>
      <c r="J23" s="14"/>
    </row>
    <row r="24" customFormat="false" ht="15" hidden="false" customHeight="false" outlineLevel="0" collapsed="false">
      <c r="A24" s="4" t="s">
        <v>61</v>
      </c>
      <c r="B24" s="5"/>
      <c r="C24" s="5"/>
      <c r="D24" s="5"/>
      <c r="E24" s="5"/>
      <c r="F24" s="5"/>
      <c r="G24" s="5"/>
      <c r="H24" s="5"/>
      <c r="I24" s="5"/>
      <c r="J24" s="5"/>
    </row>
    <row r="25" customFormat="false" ht="22.35" hidden="false" customHeight="false" outlineLevel="0" collapsed="false">
      <c r="A25" s="6" t="s">
        <v>62</v>
      </c>
      <c r="B25" s="7" t="s">
        <v>63</v>
      </c>
      <c r="C25" s="6" t="s">
        <v>15</v>
      </c>
      <c r="D25" s="17" t="n">
        <v>1</v>
      </c>
      <c r="E25" s="17" t="n">
        <v>1</v>
      </c>
      <c r="F25" s="9" t="n">
        <f aca="false">Параметри!$B$57/(1+Параметри!$B$54)/Параметри!$B$28</f>
        <v>2595.77114427861</v>
      </c>
      <c r="G25" s="10"/>
      <c r="H25" s="11" t="n">
        <f aca="false">D25*F25</f>
        <v>2595.77114427861</v>
      </c>
      <c r="I25" s="11" t="n">
        <f aca="false">E25*F25</f>
        <v>2595.77114427861</v>
      </c>
      <c r="J25" s="12" t="s">
        <v>64</v>
      </c>
    </row>
    <row r="26" customFormat="false" ht="22.35" hidden="false" customHeight="false" outlineLevel="0" collapsed="false">
      <c r="A26" s="6" t="s">
        <v>65</v>
      </c>
      <c r="B26" s="7" t="s">
        <v>66</v>
      </c>
      <c r="C26" s="6" t="s">
        <v>15</v>
      </c>
      <c r="D26" s="8" t="n">
        <f aca="false">Параметри!B16</f>
        <v>513</v>
      </c>
      <c r="E26" s="8" t="n">
        <f aca="false">Параметри!C16</f>
        <v>476</v>
      </c>
      <c r="F26" s="9" t="n">
        <f aca="false">Параметри!$B$43</f>
        <v>3</v>
      </c>
      <c r="G26" s="10"/>
      <c r="H26" s="11" t="n">
        <f aca="false">D26*F26</f>
        <v>1539</v>
      </c>
      <c r="I26" s="11" t="n">
        <f aca="false">E26*F26</f>
        <v>1428</v>
      </c>
      <c r="J26" s="12" t="s">
        <v>67</v>
      </c>
    </row>
    <row r="27" customFormat="false" ht="15" hidden="false" customHeight="false" outlineLevel="0" collapsed="false">
      <c r="A27" s="6" t="s">
        <v>68</v>
      </c>
      <c r="B27" s="7" t="s">
        <v>69</v>
      </c>
      <c r="C27" s="6" t="s">
        <v>39</v>
      </c>
      <c r="D27" s="8" t="n">
        <f aca="false">Параметри!B17</f>
        <v>45</v>
      </c>
      <c r="E27" s="8" t="n">
        <f aca="false">Параметри!C17</f>
        <v>45</v>
      </c>
      <c r="F27" s="9" t="n">
        <f aca="false">Параметри!$B$58/(1+Параметри!$B$54)/Параметри!$B$28</f>
        <v>59.8544590480434</v>
      </c>
      <c r="G27" s="10"/>
      <c r="H27" s="11" t="n">
        <f aca="false">D27*F27</f>
        <v>2693.45065716195</v>
      </c>
      <c r="I27" s="11" t="n">
        <f aca="false">E27*F27</f>
        <v>2693.45065716195</v>
      </c>
      <c r="J27" s="12" t="s">
        <v>70</v>
      </c>
    </row>
    <row r="28" customFormat="false" ht="22.35" hidden="false" customHeight="false" outlineLevel="0" collapsed="false">
      <c r="A28" s="6" t="s">
        <v>71</v>
      </c>
      <c r="B28" s="7" t="s">
        <v>72</v>
      </c>
      <c r="C28" s="6" t="s">
        <v>73</v>
      </c>
      <c r="D28" s="17" t="n">
        <v>1</v>
      </c>
      <c r="E28" s="17" t="n">
        <v>1</v>
      </c>
      <c r="F28" s="9" t="n">
        <f aca="false">Параметри!$B$59/(1+Параметри!$B$54)/Параметри!$B$28+Параметри!$B$60/(1+Параметри!$B$54)/Параметри!$B$28</f>
        <v>296.629167594862</v>
      </c>
      <c r="G28" s="10"/>
      <c r="H28" s="11" t="n">
        <f aca="false">D28*F28</f>
        <v>296.629167594862</v>
      </c>
      <c r="I28" s="11" t="n">
        <f aca="false">E28*F28</f>
        <v>296.629167594862</v>
      </c>
      <c r="J28" s="12" t="s">
        <v>74</v>
      </c>
    </row>
    <row r="29" customFormat="false" ht="22.35" hidden="false" customHeight="false" outlineLevel="0" collapsed="false">
      <c r="A29" s="6" t="s">
        <v>75</v>
      </c>
      <c r="B29" s="7" t="s">
        <v>76</v>
      </c>
      <c r="C29" s="6" t="s">
        <v>73</v>
      </c>
      <c r="D29" s="17" t="n">
        <v>1</v>
      </c>
      <c r="E29" s="17" t="n">
        <v>1</v>
      </c>
      <c r="F29" s="9" t="n">
        <f aca="false">Параметри!$B$61/(1+Параметри!$B$54)/Параметри!$B$28</f>
        <v>131.729412638301</v>
      </c>
      <c r="G29" s="10"/>
      <c r="H29" s="11" t="n">
        <f aca="false">D29*F29</f>
        <v>131.729412638301</v>
      </c>
      <c r="I29" s="11" t="n">
        <f aca="false">E29*F29</f>
        <v>131.729412638301</v>
      </c>
      <c r="J29" s="12" t="s">
        <v>77</v>
      </c>
    </row>
    <row r="30" customFormat="false" ht="15" hidden="false" customHeight="false" outlineLevel="0" collapsed="false">
      <c r="A30" s="6" t="s">
        <v>78</v>
      </c>
      <c r="B30" s="7" t="s">
        <v>79</v>
      </c>
      <c r="C30" s="6" t="s">
        <v>80</v>
      </c>
      <c r="D30" s="8" t="n">
        <f aca="false">Параметри!B16</f>
        <v>513</v>
      </c>
      <c r="E30" s="8" t="n">
        <f aca="false">Параметри!C16</f>
        <v>476</v>
      </c>
      <c r="F30" s="9" t="n">
        <f aca="false">Параметри!$B$47</f>
        <v>0.338365183876666</v>
      </c>
      <c r="G30" s="10"/>
      <c r="H30" s="11" t="n">
        <f aca="false">D30*F30</f>
        <v>173.58133932873</v>
      </c>
      <c r="I30" s="11" t="n">
        <f aca="false">E30*F30</f>
        <v>161.061827525293</v>
      </c>
      <c r="J30" s="12" t="s">
        <v>81</v>
      </c>
    </row>
    <row r="31" customFormat="false" ht="15" hidden="false" customHeight="false" outlineLevel="0" collapsed="false">
      <c r="A31" s="6" t="s">
        <v>82</v>
      </c>
      <c r="B31" s="7" t="s">
        <v>83</v>
      </c>
      <c r="C31" s="6" t="s">
        <v>39</v>
      </c>
      <c r="D31" s="8" t="n">
        <f aca="false">Параметри!B19</f>
        <v>0</v>
      </c>
      <c r="E31" s="8" t="n">
        <f aca="false">Параметри!C19</f>
        <v>5.8</v>
      </c>
      <c r="F31" s="9" t="n">
        <f aca="false">Параметри!$B$62/(1+Параметри!$B$54)/Параметри!$B$28</f>
        <v>167.075072399198</v>
      </c>
      <c r="G31" s="10"/>
      <c r="H31" s="11" t="n">
        <f aca="false">D31*F31</f>
        <v>0</v>
      </c>
      <c r="I31" s="11" t="n">
        <f aca="false">E31*F31</f>
        <v>969.035419915349</v>
      </c>
      <c r="J31" s="12" t="s">
        <v>84</v>
      </c>
    </row>
    <row r="32" customFormat="false" ht="15" hidden="false" customHeight="false" outlineLevel="0" collapsed="false">
      <c r="A32" s="6" t="s">
        <v>85</v>
      </c>
      <c r="B32" s="7" t="s">
        <v>86</v>
      </c>
      <c r="C32" s="6" t="s">
        <v>15</v>
      </c>
      <c r="D32" s="8" t="n">
        <f aca="false">Параметри!B20</f>
        <v>0</v>
      </c>
      <c r="E32" s="8" t="n">
        <f aca="false">Параметри!C20</f>
        <v>1</v>
      </c>
      <c r="F32" s="20" t="n">
        <v>0</v>
      </c>
      <c r="G32" s="10"/>
      <c r="H32" s="11" t="n">
        <f aca="false">D32*F32</f>
        <v>0</v>
      </c>
      <c r="I32" s="11" t="n">
        <f aca="false">E32*F32</f>
        <v>0</v>
      </c>
      <c r="J32" s="12" t="s">
        <v>87</v>
      </c>
    </row>
    <row r="33" customFormat="false" ht="15" hidden="false" customHeight="false" outlineLevel="0" collapsed="false">
      <c r="A33" s="6" t="s">
        <v>88</v>
      </c>
      <c r="B33" s="7" t="s">
        <v>89</v>
      </c>
      <c r="C33" s="6" t="s">
        <v>39</v>
      </c>
      <c r="D33" s="8" t="n">
        <f aca="false">Параметри!B21</f>
        <v>0</v>
      </c>
      <c r="E33" s="8" t="n">
        <f aca="false">Параметри!C21</f>
        <v>5.6</v>
      </c>
      <c r="F33" s="9" t="n">
        <f aca="false">Параметри!$B$62/(1+Параметри!$B$54)/Параметри!$B$28</f>
        <v>167.075072399198</v>
      </c>
      <c r="G33" s="10"/>
      <c r="H33" s="11" t="n">
        <f aca="false">D33*F33</f>
        <v>0</v>
      </c>
      <c r="I33" s="11" t="n">
        <f aca="false">E33*F33</f>
        <v>935.620405435509</v>
      </c>
      <c r="J33" s="12" t="s">
        <v>84</v>
      </c>
    </row>
    <row r="34" customFormat="false" ht="15" hidden="false" customHeight="false" outlineLevel="0" collapsed="false">
      <c r="A34" s="6" t="s">
        <v>90</v>
      </c>
      <c r="B34" s="7" t="s">
        <v>91</v>
      </c>
      <c r="C34" s="6" t="s">
        <v>39</v>
      </c>
      <c r="D34" s="8" t="n">
        <f aca="false">Параметри!B22</f>
        <v>0</v>
      </c>
      <c r="E34" s="8" t="n">
        <f aca="false">Параметри!C22</f>
        <v>99</v>
      </c>
      <c r="F34" s="9" t="n">
        <f aca="false">Параметри!$B$63/(1+Параметри!$B$54)/Параметри!$B$28</f>
        <v>13.324237023836</v>
      </c>
      <c r="G34" s="10"/>
      <c r="H34" s="11" t="n">
        <f aca="false">D34*F34</f>
        <v>0</v>
      </c>
      <c r="I34" s="11" t="n">
        <f aca="false">E34*F34</f>
        <v>1319.09946535977</v>
      </c>
      <c r="J34" s="12" t="s">
        <v>92</v>
      </c>
    </row>
    <row r="35" customFormat="false" ht="15" hidden="false" customHeight="false" outlineLevel="0" collapsed="false">
      <c r="A35" s="6" t="s">
        <v>93</v>
      </c>
      <c r="B35" s="7" t="s">
        <v>94</v>
      </c>
      <c r="C35" s="6" t="s">
        <v>95</v>
      </c>
      <c r="D35" s="8" t="n">
        <f aca="false">Параметри!B23</f>
        <v>0</v>
      </c>
      <c r="E35" s="8" t="n">
        <f aca="false">Параметри!C23</f>
        <v>63</v>
      </c>
      <c r="F35" s="9" t="n">
        <f aca="false">Параметри!$B$64/(1+Параметри!$B$54)/Параметри!$B$28</f>
        <v>20.2346476572362</v>
      </c>
      <c r="G35" s="10"/>
      <c r="H35" s="11" t="n">
        <f aca="false">D35*F35</f>
        <v>0</v>
      </c>
      <c r="I35" s="11" t="n">
        <f aca="false">E35*F35</f>
        <v>1274.78280240588</v>
      </c>
      <c r="J35" s="12" t="s">
        <v>96</v>
      </c>
    </row>
    <row r="36" customFormat="false" ht="15" hidden="false" customHeight="false" outlineLevel="0" collapsed="false">
      <c r="A36" s="14"/>
      <c r="B36" s="15" t="s">
        <v>97</v>
      </c>
      <c r="C36" s="14"/>
      <c r="D36" s="14"/>
      <c r="E36" s="14"/>
      <c r="F36" s="14"/>
      <c r="G36" s="14"/>
      <c r="H36" s="16" t="n">
        <f aca="false">SUM(H25:H35)</f>
        <v>7430.16172100245</v>
      </c>
      <c r="I36" s="16" t="n">
        <f aca="false">SUM(I25:I35)</f>
        <v>11805.1803023155</v>
      </c>
      <c r="J36" s="14"/>
    </row>
    <row r="37" customFormat="false" ht="15" hidden="false" customHeight="false" outlineLevel="0" collapsed="false">
      <c r="A37" s="4" t="s">
        <v>98</v>
      </c>
      <c r="B37" s="5"/>
      <c r="C37" s="5"/>
      <c r="D37" s="5"/>
      <c r="E37" s="5"/>
      <c r="F37" s="5"/>
      <c r="G37" s="5"/>
      <c r="H37" s="5"/>
      <c r="I37" s="5"/>
      <c r="J37" s="5"/>
    </row>
    <row r="38" customFormat="false" ht="22.35" hidden="false" customHeight="false" outlineLevel="0" collapsed="false">
      <c r="A38" s="6" t="s">
        <v>99</v>
      </c>
      <c r="B38" s="7" t="s">
        <v>100</v>
      </c>
      <c r="C38" s="6" t="s">
        <v>101</v>
      </c>
      <c r="D38" s="8" t="n">
        <f aca="false">Параметри!B11</f>
        <v>104.39</v>
      </c>
      <c r="E38" s="8" t="n">
        <f aca="false">Параметри!C11</f>
        <v>96.36</v>
      </c>
      <c r="F38" s="9" t="n">
        <f aca="false">Параметри!$B$48</f>
        <v>50</v>
      </c>
      <c r="G38" s="10"/>
      <c r="H38" s="11" t="n">
        <f aca="false">D38*F38</f>
        <v>5219.5</v>
      </c>
      <c r="I38" s="11" t="n">
        <f aca="false">E38*F38</f>
        <v>4818</v>
      </c>
      <c r="J38" s="12" t="s">
        <v>67</v>
      </c>
    </row>
    <row r="39" customFormat="false" ht="15" hidden="false" customHeight="false" outlineLevel="0" collapsed="false">
      <c r="A39" s="6" t="s">
        <v>102</v>
      </c>
      <c r="B39" s="7" t="s">
        <v>103</v>
      </c>
      <c r="C39" s="6" t="s">
        <v>19</v>
      </c>
      <c r="D39" s="8" t="n">
        <f aca="false">Параметри!B9</f>
        <v>143</v>
      </c>
      <c r="E39" s="8" t="n">
        <f aca="false">Параметри!C9</f>
        <v>132</v>
      </c>
      <c r="F39" s="9" t="n">
        <f aca="false">Параметри!$B$49</f>
        <v>1.45833333333333</v>
      </c>
      <c r="G39" s="10"/>
      <c r="H39" s="11" t="n">
        <f aca="false">D39*F39</f>
        <v>208.541666666667</v>
      </c>
      <c r="I39" s="11" t="n">
        <f aca="false">E39*F39</f>
        <v>192.5</v>
      </c>
      <c r="J39" s="12" t="s">
        <v>104</v>
      </c>
    </row>
    <row r="40" customFormat="false" ht="22.35" hidden="false" customHeight="false" outlineLevel="0" collapsed="false">
      <c r="A40" s="6" t="s">
        <v>105</v>
      </c>
      <c r="B40" s="7" t="s">
        <v>106</v>
      </c>
      <c r="C40" s="6" t="s">
        <v>19</v>
      </c>
      <c r="D40" s="8" t="n">
        <f aca="false">Параметри!B9</f>
        <v>143</v>
      </c>
      <c r="E40" s="8" t="n">
        <f aca="false">Параметри!C9</f>
        <v>132</v>
      </c>
      <c r="F40" s="9" t="n">
        <f aca="false">Параметри!$B$50</f>
        <v>1.22348484848485</v>
      </c>
      <c r="G40" s="10"/>
      <c r="H40" s="11" t="n">
        <f aca="false">D40*F40</f>
        <v>174.958333333333</v>
      </c>
      <c r="I40" s="11" t="n">
        <f aca="false">E40*F40</f>
        <v>161.5</v>
      </c>
      <c r="J40" s="12" t="s">
        <v>107</v>
      </c>
    </row>
    <row r="41" customFormat="false" ht="22.35" hidden="false" customHeight="false" outlineLevel="0" collapsed="false">
      <c r="A41" s="6" t="s">
        <v>108</v>
      </c>
      <c r="B41" s="7" t="s">
        <v>109</v>
      </c>
      <c r="C41" s="6" t="s">
        <v>110</v>
      </c>
      <c r="D41" s="8" t="n">
        <f aca="false">Параметри!B24</f>
        <v>0</v>
      </c>
      <c r="E41" s="8" t="n">
        <f aca="false">Параметри!C24</f>
        <v>112</v>
      </c>
      <c r="F41" s="9" t="n">
        <f aca="false">Параметри!$B$51/Параметри!$B$28</f>
        <v>15.5936734239252</v>
      </c>
      <c r="G41" s="10"/>
      <c r="H41" s="11" t="n">
        <f aca="false">D41*F41</f>
        <v>0</v>
      </c>
      <c r="I41" s="11" t="n">
        <f aca="false">E41*F41</f>
        <v>1746.49142347962</v>
      </c>
      <c r="J41" s="12" t="s">
        <v>111</v>
      </c>
    </row>
    <row r="42" customFormat="false" ht="15" hidden="false" customHeight="false" outlineLevel="0" collapsed="false">
      <c r="A42" s="14"/>
      <c r="B42" s="15" t="s">
        <v>112</v>
      </c>
      <c r="C42" s="14"/>
      <c r="D42" s="14"/>
      <c r="E42" s="14"/>
      <c r="F42" s="14"/>
      <c r="G42" s="14"/>
      <c r="H42" s="16" t="n">
        <f aca="false">SUM(H38:H41)</f>
        <v>5603</v>
      </c>
      <c r="I42" s="16" t="n">
        <f aca="false">SUM(I38:I41)</f>
        <v>6918.49142347962</v>
      </c>
      <c r="J42" s="14"/>
    </row>
    <row r="44" customFormat="false" ht="15" hidden="false" customHeight="false" outlineLevel="0" collapsed="false">
      <c r="A44" s="21"/>
      <c r="B44" s="22" t="s">
        <v>113</v>
      </c>
      <c r="C44" s="21"/>
      <c r="D44" s="21"/>
      <c r="E44" s="21"/>
      <c r="F44" s="21"/>
      <c r="G44" s="21"/>
      <c r="H44" s="23" t="n">
        <f aca="false">H14+H17+H23+H36+H42</f>
        <v>30244.7153070202</v>
      </c>
      <c r="I44" s="23" t="n">
        <f aca="false">I14+I17+I23+I36+I42</f>
        <v>34745.7360824676</v>
      </c>
      <c r="J44" s="21"/>
    </row>
    <row r="46" customFormat="false" ht="15" hidden="false" customHeight="false" outlineLevel="0" collapsed="false">
      <c r="A46" s="4" t="s">
        <v>114</v>
      </c>
      <c r="B46" s="5"/>
      <c r="C46" s="5"/>
      <c r="D46" s="5"/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A47" s="6" t="s">
        <v>115</v>
      </c>
      <c r="B47" s="7" t="s">
        <v>116</v>
      </c>
      <c r="C47" s="6"/>
      <c r="D47" s="17"/>
      <c r="E47" s="17"/>
      <c r="F47" s="18" t="n">
        <f aca="false">Параметри!$B$52</f>
        <v>0.04</v>
      </c>
      <c r="G47" s="10"/>
      <c r="H47" s="11" t="n">
        <f aca="false">H44*F47</f>
        <v>1209.78861228081</v>
      </c>
      <c r="I47" s="11" t="n">
        <f aca="false">I44*F47</f>
        <v>1389.82944329871</v>
      </c>
      <c r="J47" s="12" t="s">
        <v>67</v>
      </c>
    </row>
    <row r="48" customFormat="false" ht="15" hidden="false" customHeight="false" outlineLevel="0" collapsed="false">
      <c r="A48" s="6" t="s">
        <v>117</v>
      </c>
      <c r="B48" s="7" t="s">
        <v>118</v>
      </c>
      <c r="C48" s="6"/>
      <c r="D48" s="17"/>
      <c r="E48" s="17"/>
      <c r="F48" s="18" t="n">
        <f aca="false">Параметри!$B$53</f>
        <v>0.18</v>
      </c>
      <c r="G48" s="10"/>
      <c r="H48" s="11" t="n">
        <f aca="false">H44*F48</f>
        <v>5444.04875526363</v>
      </c>
      <c r="I48" s="11" t="n">
        <f aca="false">I44*F48</f>
        <v>6254.23249484418</v>
      </c>
      <c r="J48" s="12" t="s">
        <v>67</v>
      </c>
    </row>
    <row r="49" customFormat="false" ht="15" hidden="false" customHeight="false" outlineLevel="0" collapsed="false">
      <c r="A49" s="14"/>
      <c r="B49" s="15" t="s">
        <v>119</v>
      </c>
      <c r="C49" s="14"/>
      <c r="D49" s="14"/>
      <c r="E49" s="14"/>
      <c r="F49" s="14"/>
      <c r="G49" s="14"/>
      <c r="H49" s="16" t="n">
        <f aca="false">H47+H48</f>
        <v>6653.83736754444</v>
      </c>
      <c r="I49" s="16" t="n">
        <f aca="false">I47+I48</f>
        <v>7644.06193814288</v>
      </c>
      <c r="J49" s="14"/>
    </row>
    <row r="51" customFormat="false" ht="15" hidden="false" customHeight="false" outlineLevel="0" collapsed="false">
      <c r="A51" s="21"/>
      <c r="B51" s="22" t="s">
        <v>120</v>
      </c>
      <c r="C51" s="21"/>
      <c r="D51" s="21"/>
      <c r="E51" s="21"/>
      <c r="F51" s="21"/>
      <c r="G51" s="21"/>
      <c r="H51" s="23" t="n">
        <f aca="false">H44+H49</f>
        <v>36898.5526745646</v>
      </c>
      <c r="I51" s="23" t="n">
        <f aca="false">I44+I49</f>
        <v>42389.7980206105</v>
      </c>
      <c r="J51" s="21"/>
    </row>
    <row r="52" customFormat="false" ht="15" hidden="false" customHeight="false" outlineLevel="0" collapsed="false">
      <c r="A52" s="14"/>
      <c r="B52" s="15" t="s">
        <v>121</v>
      </c>
      <c r="C52" s="14"/>
      <c r="D52" s="14"/>
      <c r="E52" s="14"/>
      <c r="F52" s="14"/>
      <c r="G52" s="14"/>
      <c r="H52" s="16" t="n">
        <f aca="false">H51*Параметри!$B$54</f>
        <v>7379.71053491292</v>
      </c>
      <c r="I52" s="16" t="n">
        <f aca="false">I51*Параметри!$B$54</f>
        <v>8477.9596041221</v>
      </c>
      <c r="J52" s="14"/>
    </row>
    <row r="53" customFormat="false" ht="15" hidden="false" customHeight="false" outlineLevel="0" collapsed="false">
      <c r="A53" s="21"/>
      <c r="B53" s="22" t="s">
        <v>122</v>
      </c>
      <c r="C53" s="21"/>
      <c r="D53" s="21"/>
      <c r="E53" s="21"/>
      <c r="F53" s="21"/>
      <c r="G53" s="21"/>
      <c r="H53" s="23" t="n">
        <f aca="false">H51+H52</f>
        <v>44278.2632094775</v>
      </c>
      <c r="I53" s="23" t="n">
        <f aca="false">I51+I52</f>
        <v>50867.7576247326</v>
      </c>
      <c r="J53" s="21"/>
    </row>
    <row r="55" customFormat="false" ht="15" hidden="false" customHeight="false" outlineLevel="0" collapsed="false">
      <c r="A55" s="14"/>
      <c r="B55" s="15" t="s">
        <v>123</v>
      </c>
      <c r="C55" s="14"/>
      <c r="D55" s="14"/>
      <c r="E55" s="14"/>
      <c r="F55" s="14"/>
      <c r="G55" s="14"/>
      <c r="H55" s="16" t="n">
        <f aca="false">(H51-H6)*Параметри!$B$54</f>
        <v>5248.11053491292</v>
      </c>
      <c r="I55" s="16" t="n">
        <f aca="false">(I51-I6)*Параметри!$B$54</f>
        <v>6506.9596041221</v>
      </c>
      <c r="J55" s="14"/>
    </row>
    <row r="56" customFormat="false" ht="15" hidden="false" customHeight="false" outlineLevel="0" collapsed="false">
      <c r="A56" s="21"/>
      <c r="B56" s="22" t="s">
        <v>124</v>
      </c>
      <c r="C56" s="21"/>
      <c r="D56" s="21"/>
      <c r="E56" s="21"/>
      <c r="F56" s="21"/>
      <c r="G56" s="21"/>
      <c r="H56" s="23" t="n">
        <f aca="false">H51+H55</f>
        <v>42146.6632094775</v>
      </c>
      <c r="I56" s="23" t="n">
        <f aca="false">I51+I55</f>
        <v>48896.7576247326</v>
      </c>
      <c r="J56" s="21"/>
    </row>
    <row r="58" customFormat="false" ht="15" hidden="false" customHeight="false" outlineLevel="0" collapsed="false">
      <c r="A58" s="14"/>
      <c r="B58" s="15" t="s">
        <v>125</v>
      </c>
      <c r="C58" s="14"/>
      <c r="D58" s="14"/>
      <c r="E58" s="14"/>
      <c r="F58" s="14"/>
      <c r="G58" s="14"/>
      <c r="H58" s="16" t="n">
        <f aca="false">H51/Параметри!B11</f>
        <v>353.468269705572</v>
      </c>
      <c r="I58" s="16" t="n">
        <f aca="false">I51/Параметри!C11</f>
        <v>439.910730807498</v>
      </c>
      <c r="J58" s="14"/>
    </row>
    <row r="60" customFormat="false" ht="15" hidden="false" customHeight="false" outlineLevel="0" collapsed="false">
      <c r="A60" s="4" t="s">
        <v>126</v>
      </c>
      <c r="B60" s="5"/>
      <c r="C60" s="5"/>
      <c r="D60" s="5"/>
      <c r="E60" s="5"/>
      <c r="F60" s="5"/>
      <c r="G60" s="5"/>
      <c r="H60" s="5"/>
      <c r="I60" s="5"/>
      <c r="J60" s="5"/>
    </row>
    <row r="61" customFormat="false" ht="15" hidden="false" customHeight="false" outlineLevel="0" collapsed="false">
      <c r="A61" s="14"/>
      <c r="B61" s="7" t="s">
        <v>127</v>
      </c>
      <c r="C61" s="6" t="s">
        <v>101</v>
      </c>
      <c r="D61" s="14"/>
      <c r="E61" s="14"/>
      <c r="F61" s="14"/>
      <c r="G61" s="14"/>
      <c r="H61" s="24" t="n">
        <f aca="false">Параметри!B11</f>
        <v>104.39</v>
      </c>
      <c r="I61" s="24" t="n">
        <f aca="false">Параметри!C11</f>
        <v>96.36</v>
      </c>
      <c r="J61" s="14"/>
    </row>
    <row r="62" customFormat="false" ht="15" hidden="false" customHeight="false" outlineLevel="0" collapsed="false">
      <c r="A62" s="14"/>
      <c r="B62" s="7" t="s">
        <v>128</v>
      </c>
      <c r="C62" s="6" t="s">
        <v>129</v>
      </c>
      <c r="D62" s="14"/>
      <c r="E62" s="14"/>
      <c r="F62" s="14"/>
      <c r="G62" s="14"/>
      <c r="H62" s="25" t="n">
        <f aca="false">Параметри!B15</f>
        <v>94.4</v>
      </c>
      <c r="I62" s="25" t="n">
        <f aca="false">Параметри!C15</f>
        <v>87.1</v>
      </c>
      <c r="J62" s="14"/>
    </row>
    <row r="63" customFormat="false" ht="15" hidden="false" customHeight="false" outlineLevel="0" collapsed="false">
      <c r="A63" s="14"/>
      <c r="B63" s="7" t="s">
        <v>130</v>
      </c>
      <c r="C63" s="6" t="s">
        <v>129</v>
      </c>
      <c r="D63" s="14"/>
      <c r="E63" s="14"/>
      <c r="F63" s="14"/>
      <c r="G63" s="14"/>
      <c r="H63" s="25" t="n">
        <f aca="false">H62*Параметри!$B$56</f>
        <v>92.7008</v>
      </c>
      <c r="I63" s="25" t="n">
        <f aca="false">I62*Параметри!$B$56</f>
        <v>85.5322</v>
      </c>
      <c r="J63" s="14"/>
    </row>
    <row r="64" customFormat="false" ht="15" hidden="false" customHeight="false" outlineLevel="0" collapsed="false">
      <c r="A64" s="14"/>
      <c r="B64" s="7" t="s">
        <v>131</v>
      </c>
      <c r="C64" s="6" t="s">
        <v>132</v>
      </c>
      <c r="D64" s="14"/>
      <c r="E64" s="14"/>
      <c r="F64" s="14"/>
      <c r="G64" s="14"/>
      <c r="H64" s="26" t="n">
        <f aca="false">H63*1000/H61</f>
        <v>888.023757064853</v>
      </c>
      <c r="I64" s="26" t="n">
        <f aca="false">I63*1000/I61</f>
        <v>887.631797426318</v>
      </c>
      <c r="J64" s="14"/>
    </row>
    <row r="65" customFormat="false" ht="15" hidden="false" customHeight="false" outlineLevel="0" collapsed="false">
      <c r="A65" s="14"/>
      <c r="B65" s="7" t="s">
        <v>133</v>
      </c>
      <c r="C65" s="6" t="s">
        <v>134</v>
      </c>
      <c r="D65" s="14"/>
      <c r="E65" s="14"/>
      <c r="F65" s="14"/>
      <c r="G65" s="14"/>
      <c r="H65" s="27" t="n">
        <f aca="false">Параметри!$B$55/(1+Параметри!$B$54)/Параметри!$B$28</f>
        <v>0.12994727853271</v>
      </c>
      <c r="I65" s="27" t="n">
        <f aca="false">Параметри!$B$55/(1+Параметри!$B$54)/Параметри!$B$28</f>
        <v>0.12994727853271</v>
      </c>
      <c r="J65" s="14"/>
    </row>
    <row r="66" customFormat="false" ht="15" hidden="false" customHeight="false" outlineLevel="0" collapsed="false">
      <c r="A66" s="14"/>
      <c r="B66" s="7" t="s">
        <v>135</v>
      </c>
      <c r="C66" s="6" t="s">
        <v>134</v>
      </c>
      <c r="D66" s="14"/>
      <c r="E66" s="14"/>
      <c r="F66" s="14"/>
      <c r="G66" s="14"/>
      <c r="H66" s="11" t="n">
        <f aca="false">H63*1000*H65</f>
        <v>12046.216677805</v>
      </c>
      <c r="I66" s="11" t="n">
        <f aca="false">I63*1000*I65</f>
        <v>11114.6766169154</v>
      </c>
      <c r="J66" s="14"/>
    </row>
    <row r="67" customFormat="false" ht="15" hidden="false" customHeight="false" outlineLevel="0" collapsed="false">
      <c r="A67" s="14"/>
      <c r="B67" s="7" t="s">
        <v>136</v>
      </c>
      <c r="C67" s="6" t="s">
        <v>137</v>
      </c>
      <c r="D67" s="14"/>
      <c r="E67" s="14"/>
      <c r="F67" s="14"/>
      <c r="G67" s="14"/>
      <c r="H67" s="28" t="n">
        <f aca="false">H51/H66</f>
        <v>3.06308226570004</v>
      </c>
      <c r="I67" s="28" t="n">
        <f aca="false">I51/I66</f>
        <v>3.81385797190874</v>
      </c>
      <c r="J67" s="14"/>
    </row>
    <row r="68" customFormat="false" ht="15" hidden="false" customHeight="false" outlineLevel="0" collapsed="false">
      <c r="A68" s="14"/>
      <c r="B68" s="7" t="s">
        <v>138</v>
      </c>
      <c r="C68" s="6" t="s">
        <v>134</v>
      </c>
      <c r="D68" s="14"/>
      <c r="E68" s="14"/>
      <c r="F68" s="14"/>
      <c r="G68" s="14"/>
      <c r="H68" s="11" t="n">
        <f aca="false">H51/H63</f>
        <v>398.039204349527</v>
      </c>
      <c r="I68" s="11" t="n">
        <f aca="false">I51/I63</f>
        <v>495.60046415982</v>
      </c>
      <c r="J68" s="14"/>
    </row>
    <row r="70" customFormat="false" ht="24" hidden="false" customHeight="true" outlineLevel="0" collapsed="false">
      <c r="B70" s="29" t="s">
        <v>139</v>
      </c>
      <c r="C70" s="29"/>
      <c r="D70" s="29"/>
      <c r="E70" s="29"/>
      <c r="F70" s="29"/>
      <c r="G70" s="29"/>
      <c r="H70" s="29"/>
      <c r="I70" s="29"/>
      <c r="J70" s="29"/>
    </row>
    <row r="71" customFormat="false" ht="24" hidden="false" customHeight="true" outlineLevel="0" collapsed="false">
      <c r="B71" s="29" t="s">
        <v>140</v>
      </c>
      <c r="C71" s="29"/>
      <c r="D71" s="29"/>
      <c r="E71" s="29"/>
      <c r="F71" s="29"/>
      <c r="G71" s="29"/>
      <c r="H71" s="29"/>
      <c r="I71" s="29"/>
      <c r="J71" s="29"/>
    </row>
    <row r="72" customFormat="false" ht="24" hidden="false" customHeight="true" outlineLevel="0" collapsed="false">
      <c r="B72" s="29" t="s">
        <v>141</v>
      </c>
      <c r="C72" s="29"/>
      <c r="D72" s="29"/>
      <c r="E72" s="29"/>
      <c r="F72" s="29"/>
      <c r="G72" s="29"/>
      <c r="H72" s="29"/>
      <c r="I72" s="29"/>
      <c r="J72" s="29"/>
    </row>
    <row r="73" customFormat="false" ht="24" hidden="false" customHeight="true" outlineLevel="0" collapsed="false">
      <c r="B73" s="29" t="s">
        <v>142</v>
      </c>
      <c r="C73" s="29"/>
      <c r="D73" s="29"/>
      <c r="E73" s="29"/>
      <c r="F73" s="29"/>
      <c r="G73" s="29"/>
      <c r="H73" s="29"/>
      <c r="I73" s="29"/>
      <c r="J73" s="29"/>
    </row>
    <row r="74" customFormat="false" ht="24" hidden="false" customHeight="true" outlineLevel="0" collapsed="false">
      <c r="B74" s="29" t="s">
        <v>143</v>
      </c>
      <c r="C74" s="29"/>
      <c r="D74" s="29"/>
      <c r="E74" s="29"/>
      <c r="F74" s="29"/>
      <c r="G74" s="29"/>
      <c r="H74" s="29"/>
      <c r="I74" s="29"/>
      <c r="J74" s="29"/>
    </row>
  </sheetData>
  <mergeCells count="5">
    <mergeCell ref="B70:J70"/>
    <mergeCell ref="B71:J71"/>
    <mergeCell ref="B72:J72"/>
    <mergeCell ref="B73:J73"/>
    <mergeCell ref="B74:J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78"/>
  </cols>
  <sheetData>
    <row r="1" customFormat="false" ht="1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15" hidden="false" customHeight="false" outlineLevel="0" collapsed="false">
      <c r="A4" s="30" t="s">
        <v>146</v>
      </c>
      <c r="B4" s="30" t="s">
        <v>147</v>
      </c>
      <c r="C4" s="30" t="s">
        <v>148</v>
      </c>
      <c r="D4" s="30" t="s">
        <v>4</v>
      </c>
      <c r="E4" s="30" t="s">
        <v>149</v>
      </c>
    </row>
    <row r="5" customFormat="false" ht="15" hidden="false" customHeight="false" outlineLevel="0" collapsed="false">
      <c r="A5" s="7" t="s">
        <v>150</v>
      </c>
      <c r="B5" s="17" t="n">
        <v>95</v>
      </c>
      <c r="C5" s="17" t="n">
        <v>86</v>
      </c>
      <c r="D5" s="6" t="s">
        <v>15</v>
      </c>
      <c r="E5" s="12" t="s">
        <v>151</v>
      </c>
    </row>
    <row r="6" customFormat="false" ht="15" hidden="false" customHeight="false" outlineLevel="0" collapsed="false">
      <c r="A6" s="7" t="s">
        <v>152</v>
      </c>
      <c r="B6" s="17" t="n">
        <v>33</v>
      </c>
      <c r="C6" s="17" t="n">
        <v>31</v>
      </c>
      <c r="D6" s="6" t="s">
        <v>15</v>
      </c>
      <c r="E6" s="12" t="s">
        <v>153</v>
      </c>
    </row>
    <row r="7" customFormat="false" ht="15" hidden="false" customHeight="false" outlineLevel="0" collapsed="false">
      <c r="A7" s="7" t="s">
        <v>154</v>
      </c>
      <c r="B7" s="17" t="n">
        <v>6</v>
      </c>
      <c r="C7" s="17" t="n">
        <v>6</v>
      </c>
      <c r="D7" s="6" t="s">
        <v>15</v>
      </c>
      <c r="E7" s="12" t="s">
        <v>155</v>
      </c>
    </row>
    <row r="8" customFormat="false" ht="15" hidden="false" customHeight="false" outlineLevel="0" collapsed="false">
      <c r="A8" s="7" t="s">
        <v>156</v>
      </c>
      <c r="B8" s="17" t="n">
        <v>9</v>
      </c>
      <c r="C8" s="17" t="n">
        <v>9</v>
      </c>
      <c r="D8" s="6" t="s">
        <v>15</v>
      </c>
      <c r="E8" s="12" t="s">
        <v>157</v>
      </c>
    </row>
    <row r="9" customFormat="false" ht="15" hidden="false" customHeight="false" outlineLevel="0" collapsed="false">
      <c r="A9" s="7" t="s">
        <v>158</v>
      </c>
      <c r="B9" s="31" t="n">
        <f aca="false">B5+B6+B7+B8</f>
        <v>143</v>
      </c>
      <c r="C9" s="31" t="n">
        <f aca="false">C5+C6+C7+C8</f>
        <v>132</v>
      </c>
      <c r="D9" s="6" t="s">
        <v>15</v>
      </c>
      <c r="E9" s="12"/>
    </row>
    <row r="10" customFormat="false" ht="15" hidden="false" customHeight="false" outlineLevel="0" collapsed="false">
      <c r="A10" s="7" t="s">
        <v>159</v>
      </c>
      <c r="B10" s="31" t="n">
        <f aca="false">ROUNDUP(B9*$B$29,0)</f>
        <v>146</v>
      </c>
      <c r="C10" s="31" t="n">
        <f aca="false">ROUNDUP(C9*$B$29,0)</f>
        <v>135</v>
      </c>
      <c r="D10" s="6" t="s">
        <v>15</v>
      </c>
      <c r="E10" s="12" t="s">
        <v>160</v>
      </c>
    </row>
    <row r="11" customFormat="false" ht="15" hidden="false" customHeight="false" outlineLevel="0" collapsed="false">
      <c r="A11" s="7" t="s">
        <v>161</v>
      </c>
      <c r="B11" s="24" t="n">
        <f aca="false">B9*$B$27/1000</f>
        <v>104.39</v>
      </c>
      <c r="C11" s="24" t="n">
        <f aca="false">C9*$B$27/1000</f>
        <v>96.36</v>
      </c>
      <c r="D11" s="6" t="s">
        <v>101</v>
      </c>
      <c r="E11" s="12" t="s">
        <v>162</v>
      </c>
    </row>
    <row r="12" customFormat="false" ht="15" hidden="false" customHeight="false" outlineLevel="0" collapsed="false">
      <c r="A12" s="7" t="s">
        <v>163</v>
      </c>
      <c r="B12" s="17" t="n">
        <v>11</v>
      </c>
      <c r="C12" s="17" t="n">
        <v>11</v>
      </c>
      <c r="D12" s="6" t="s">
        <v>15</v>
      </c>
      <c r="E12" s="12" t="s">
        <v>164</v>
      </c>
    </row>
    <row r="13" customFormat="false" ht="15" hidden="false" customHeight="false" outlineLevel="0" collapsed="false">
      <c r="A13" s="7" t="s">
        <v>165</v>
      </c>
      <c r="B13" s="17" t="n">
        <v>13</v>
      </c>
      <c r="C13" s="17" t="n">
        <v>12</v>
      </c>
      <c r="D13" s="6" t="s">
        <v>15</v>
      </c>
      <c r="E13" s="12" t="s">
        <v>166</v>
      </c>
    </row>
    <row r="14" customFormat="false" ht="15" hidden="false" customHeight="false" outlineLevel="0" collapsed="false">
      <c r="A14" s="7" t="s">
        <v>167</v>
      </c>
      <c r="B14" s="17" t="n">
        <v>686</v>
      </c>
      <c r="C14" s="17" t="n">
        <v>688</v>
      </c>
      <c r="D14" s="6" t="s">
        <v>39</v>
      </c>
      <c r="E14" s="12" t="s">
        <v>168</v>
      </c>
    </row>
    <row r="15" customFormat="false" ht="15" hidden="false" customHeight="false" outlineLevel="0" collapsed="false">
      <c r="A15" s="7" t="s">
        <v>169</v>
      </c>
      <c r="B15" s="32" t="n">
        <v>94.4</v>
      </c>
      <c r="C15" s="32" t="n">
        <v>87.1</v>
      </c>
      <c r="D15" s="6" t="s">
        <v>129</v>
      </c>
      <c r="E15" s="12" t="s">
        <v>170</v>
      </c>
    </row>
    <row r="16" customFormat="false" ht="15" hidden="false" customHeight="false" outlineLevel="0" collapsed="false">
      <c r="A16" s="7" t="s">
        <v>171</v>
      </c>
      <c r="B16" s="31" t="n">
        <f aca="false">ROUNDUP((B5*$B$44+(B6+B7)*$B$45+B12*$B$46)*1.01,0)</f>
        <v>513</v>
      </c>
      <c r="C16" s="31" t="n">
        <f aca="false">ROUNDUP((C5*$B$44+(C6+C7)*$B$45+C12*$B$46)*1.01,0)</f>
        <v>476</v>
      </c>
      <c r="D16" s="6" t="s">
        <v>15</v>
      </c>
      <c r="E16" s="12" t="s">
        <v>172</v>
      </c>
    </row>
    <row r="17" customFormat="false" ht="15" hidden="false" customHeight="false" outlineLevel="0" collapsed="false">
      <c r="A17" s="7" t="s">
        <v>173</v>
      </c>
      <c r="B17" s="17" t="n">
        <v>45</v>
      </c>
      <c r="C17" s="17" t="n">
        <v>45</v>
      </c>
      <c r="D17" s="6" t="s">
        <v>39</v>
      </c>
      <c r="E17" s="12" t="s">
        <v>174</v>
      </c>
    </row>
    <row r="18" customFormat="false" ht="15" hidden="false" customHeight="false" outlineLevel="0" collapsed="false">
      <c r="A18" s="7" t="s">
        <v>175</v>
      </c>
      <c r="B18" s="17" t="n">
        <v>55</v>
      </c>
      <c r="C18" s="17" t="n">
        <v>55</v>
      </c>
      <c r="D18" s="6" t="s">
        <v>39</v>
      </c>
      <c r="E18" s="12" t="s">
        <v>176</v>
      </c>
    </row>
    <row r="19" customFormat="false" ht="15" hidden="false" customHeight="false" outlineLevel="0" collapsed="false">
      <c r="A19" s="7" t="s">
        <v>177</v>
      </c>
      <c r="B19" s="17" t="n">
        <v>0</v>
      </c>
      <c r="C19" s="17" t="n">
        <v>5.8</v>
      </c>
      <c r="D19" s="6" t="s">
        <v>39</v>
      </c>
      <c r="E19" s="12" t="s">
        <v>178</v>
      </c>
    </row>
    <row r="20" customFormat="false" ht="15" hidden="false" customHeight="false" outlineLevel="0" collapsed="false">
      <c r="A20" s="7" t="s">
        <v>86</v>
      </c>
      <c r="B20" s="17" t="n">
        <v>0</v>
      </c>
      <c r="C20" s="17" t="n">
        <v>1</v>
      </c>
      <c r="D20" s="6" t="s">
        <v>15</v>
      </c>
      <c r="E20" s="12" t="s">
        <v>179</v>
      </c>
    </row>
    <row r="21" customFormat="false" ht="22.35" hidden="false" customHeight="false" outlineLevel="0" collapsed="false">
      <c r="A21" s="7" t="s">
        <v>180</v>
      </c>
      <c r="B21" s="17" t="n">
        <v>0</v>
      </c>
      <c r="C21" s="17" t="n">
        <v>5.6</v>
      </c>
      <c r="D21" s="6" t="s">
        <v>39</v>
      </c>
      <c r="E21" s="12" t="s">
        <v>181</v>
      </c>
    </row>
    <row r="22" customFormat="false" ht="15" hidden="false" customHeight="false" outlineLevel="0" collapsed="false">
      <c r="A22" s="7" t="s">
        <v>182</v>
      </c>
      <c r="B22" s="17" t="n">
        <v>0</v>
      </c>
      <c r="C22" s="17" t="n">
        <v>99</v>
      </c>
      <c r="D22" s="6" t="s">
        <v>39</v>
      </c>
      <c r="E22" s="12" t="s">
        <v>183</v>
      </c>
    </row>
    <row r="23" customFormat="false" ht="15" hidden="false" customHeight="false" outlineLevel="0" collapsed="false">
      <c r="A23" s="7" t="s">
        <v>184</v>
      </c>
      <c r="B23" s="17" t="n">
        <v>0</v>
      </c>
      <c r="C23" s="17" t="n">
        <v>63</v>
      </c>
      <c r="D23" s="6" t="s">
        <v>95</v>
      </c>
      <c r="E23" s="12" t="s">
        <v>185</v>
      </c>
    </row>
    <row r="24" customFormat="false" ht="19.4" hidden="false" customHeight="false" outlineLevel="0" collapsed="false">
      <c r="A24" s="7" t="s">
        <v>186</v>
      </c>
      <c r="B24" s="17" t="n">
        <v>0</v>
      </c>
      <c r="C24" s="17" t="n">
        <v>112</v>
      </c>
      <c r="D24" s="6" t="s">
        <v>110</v>
      </c>
      <c r="E24" s="12" t="s">
        <v>187</v>
      </c>
    </row>
    <row r="25" customFormat="false" ht="15" hidden="false" customHeight="false" outlineLevel="0" collapsed="false">
      <c r="A25" s="33"/>
      <c r="E25" s="33"/>
    </row>
    <row r="26" customFormat="false" ht="15" hidden="false" customHeight="false" outlineLevel="0" collapsed="false">
      <c r="A26" s="34" t="s">
        <v>188</v>
      </c>
      <c r="B26" s="30" t="s">
        <v>189</v>
      </c>
      <c r="C26" s="30"/>
      <c r="D26" s="30" t="s">
        <v>4</v>
      </c>
      <c r="E26" s="34" t="s">
        <v>149</v>
      </c>
    </row>
    <row r="27" customFormat="false" ht="15" hidden="false" customHeight="false" outlineLevel="0" collapsed="false">
      <c r="A27" s="7" t="s">
        <v>190</v>
      </c>
      <c r="B27" s="17" t="n">
        <v>730</v>
      </c>
      <c r="C27" s="35"/>
      <c r="D27" s="6" t="s">
        <v>191</v>
      </c>
      <c r="E27" s="12" t="s">
        <v>192</v>
      </c>
    </row>
    <row r="28" customFormat="false" ht="15" hidden="false" customHeight="false" outlineLevel="0" collapsed="false">
      <c r="A28" s="7" t="s">
        <v>193</v>
      </c>
      <c r="B28" s="36" t="n">
        <v>44.89</v>
      </c>
      <c r="C28" s="35"/>
      <c r="D28" s="6" t="s">
        <v>194</v>
      </c>
      <c r="E28" s="12" t="s">
        <v>195</v>
      </c>
    </row>
    <row r="29" customFormat="false" ht="15" hidden="false" customHeight="false" outlineLevel="0" collapsed="false">
      <c r="A29" s="7" t="s">
        <v>196</v>
      </c>
      <c r="B29" s="37" t="n">
        <v>1.02</v>
      </c>
      <c r="C29" s="35"/>
      <c r="D29" s="6"/>
      <c r="E29" s="12" t="s">
        <v>56</v>
      </c>
    </row>
    <row r="30" customFormat="false" ht="15" hidden="false" customHeight="false" outlineLevel="0" collapsed="false">
      <c r="A30" s="7" t="s">
        <v>197</v>
      </c>
      <c r="B30" s="38" t="n">
        <v>73</v>
      </c>
      <c r="C30" s="35"/>
      <c r="D30" s="6" t="s">
        <v>198</v>
      </c>
      <c r="E30" s="12" t="s">
        <v>199</v>
      </c>
    </row>
    <row r="31" customFormat="false" ht="15" hidden="false" customHeight="false" outlineLevel="0" collapsed="false">
      <c r="A31" s="7" t="s">
        <v>200</v>
      </c>
      <c r="B31" s="39" t="n">
        <f aca="false">21500/1925</f>
        <v>11.1688311688312</v>
      </c>
      <c r="C31" s="35"/>
      <c r="D31" s="6" t="s">
        <v>201</v>
      </c>
      <c r="E31" s="12" t="s">
        <v>202</v>
      </c>
    </row>
    <row r="32" customFormat="false" ht="15" hidden="false" customHeight="false" outlineLevel="0" collapsed="false">
      <c r="A32" s="7" t="s">
        <v>203</v>
      </c>
      <c r="B32" s="39" t="n">
        <f aca="false">11211/1260+4*0.5</f>
        <v>10.897619047619</v>
      </c>
      <c r="C32" s="35"/>
      <c r="D32" s="6" t="s">
        <v>201</v>
      </c>
      <c r="E32" s="12" t="s">
        <v>204</v>
      </c>
    </row>
    <row r="33" customFormat="false" ht="15" hidden="false" customHeight="false" outlineLevel="0" collapsed="false">
      <c r="A33" s="7" t="s">
        <v>205</v>
      </c>
      <c r="B33" s="39" t="n">
        <f aca="false">2555/297</f>
        <v>8.6026936026936</v>
      </c>
      <c r="C33" s="35"/>
      <c r="D33" s="6" t="s">
        <v>201</v>
      </c>
      <c r="E33" s="12" t="s">
        <v>206</v>
      </c>
    </row>
    <row r="34" customFormat="false" ht="15" hidden="false" customHeight="false" outlineLevel="0" collapsed="false">
      <c r="A34" s="7" t="s">
        <v>207</v>
      </c>
      <c r="B34" s="39" t="n">
        <f aca="false">11520/192</f>
        <v>60</v>
      </c>
      <c r="C34" s="35"/>
      <c r="D34" s="6" t="s">
        <v>208</v>
      </c>
      <c r="E34" s="12" t="s">
        <v>209</v>
      </c>
    </row>
    <row r="35" customFormat="false" ht="15" hidden="false" customHeight="false" outlineLevel="0" collapsed="false">
      <c r="A35" s="7" t="s">
        <v>210</v>
      </c>
      <c r="B35" s="39" t="n">
        <f aca="false">12398/192</f>
        <v>64.5729166666667</v>
      </c>
      <c r="C35" s="35"/>
      <c r="D35" s="6" t="s">
        <v>208</v>
      </c>
      <c r="E35" s="12" t="s">
        <v>211</v>
      </c>
    </row>
    <row r="36" customFormat="false" ht="15" hidden="false" customHeight="false" outlineLevel="0" collapsed="false">
      <c r="A36" s="7" t="s">
        <v>212</v>
      </c>
      <c r="B36" s="39" t="n">
        <f aca="false">2400/2112</f>
        <v>1.13636363636364</v>
      </c>
      <c r="C36" s="35"/>
      <c r="D36" s="6" t="s">
        <v>201</v>
      </c>
      <c r="E36" s="12" t="s">
        <v>213</v>
      </c>
    </row>
    <row r="37" customFormat="false" ht="15" hidden="false" customHeight="false" outlineLevel="0" collapsed="false">
      <c r="A37" s="7" t="s">
        <v>214</v>
      </c>
      <c r="B37" s="27" t="n">
        <f aca="false">276/1050</f>
        <v>0.262857142857143</v>
      </c>
      <c r="C37" s="35"/>
      <c r="D37" s="6" t="s">
        <v>215</v>
      </c>
      <c r="E37" s="12" t="s">
        <v>216</v>
      </c>
    </row>
    <row r="38" customFormat="false" ht="15" hidden="false" customHeight="false" outlineLevel="0" collapsed="false">
      <c r="A38" s="7" t="s">
        <v>217</v>
      </c>
      <c r="B38" s="40" t="n">
        <v>0.05</v>
      </c>
      <c r="C38" s="35"/>
      <c r="D38" s="6"/>
      <c r="E38" s="12" t="s">
        <v>45</v>
      </c>
    </row>
    <row r="39" customFormat="false" ht="15" hidden="false" customHeight="false" outlineLevel="0" collapsed="false">
      <c r="A39" s="7" t="s">
        <v>218</v>
      </c>
      <c r="B39" s="39" t="n">
        <f aca="false">7000/594</f>
        <v>11.7845117845118</v>
      </c>
      <c r="C39" s="35"/>
      <c r="D39" s="6" t="s">
        <v>198</v>
      </c>
      <c r="E39" s="12" t="s">
        <v>50</v>
      </c>
    </row>
    <row r="40" customFormat="false" ht="15" hidden="false" customHeight="false" outlineLevel="0" collapsed="false">
      <c r="A40" s="7" t="s">
        <v>219</v>
      </c>
      <c r="B40" s="39" t="n">
        <f aca="false">14000/2112</f>
        <v>6.62878787878788</v>
      </c>
      <c r="C40" s="35"/>
      <c r="D40" s="6" t="s">
        <v>201</v>
      </c>
      <c r="E40" s="12" t="s">
        <v>220</v>
      </c>
    </row>
    <row r="41" customFormat="false" ht="15" hidden="false" customHeight="false" outlineLevel="0" collapsed="false">
      <c r="A41" s="7" t="s">
        <v>55</v>
      </c>
      <c r="B41" s="40" t="n">
        <v>0.003</v>
      </c>
      <c r="C41" s="35"/>
      <c r="D41" s="6"/>
      <c r="E41" s="12" t="s">
        <v>56</v>
      </c>
    </row>
    <row r="42" customFormat="false" ht="15" hidden="false" customHeight="false" outlineLevel="0" collapsed="false">
      <c r="A42" s="7" t="s">
        <v>221</v>
      </c>
      <c r="B42" s="27" t="n">
        <f aca="false">4840.7596950824/4234.64192</f>
        <v>1.14313318257672</v>
      </c>
      <c r="C42" s="35"/>
      <c r="D42" s="6"/>
      <c r="E42" s="12" t="s">
        <v>222</v>
      </c>
    </row>
    <row r="43" customFormat="false" ht="15" hidden="false" customHeight="false" outlineLevel="0" collapsed="false">
      <c r="A43" s="7" t="s">
        <v>223</v>
      </c>
      <c r="B43" s="38" t="n">
        <v>3</v>
      </c>
      <c r="C43" s="35"/>
      <c r="D43" s="6" t="s">
        <v>198</v>
      </c>
      <c r="E43" s="12" t="s">
        <v>67</v>
      </c>
    </row>
    <row r="44" customFormat="false" ht="15" hidden="false" customHeight="false" outlineLevel="0" collapsed="false">
      <c r="A44" s="7" t="s">
        <v>224</v>
      </c>
      <c r="B44" s="41" t="n">
        <f aca="false">(4457+795)/1639</f>
        <v>3.20439292251373</v>
      </c>
      <c r="C44" s="35"/>
      <c r="D44" s="6" t="s">
        <v>15</v>
      </c>
      <c r="E44" s="12" t="s">
        <v>225</v>
      </c>
    </row>
    <row r="45" customFormat="false" ht="15" hidden="false" customHeight="false" outlineLevel="0" collapsed="false">
      <c r="A45" s="7" t="s">
        <v>226</v>
      </c>
      <c r="B45" s="42" t="n">
        <v>4</v>
      </c>
      <c r="C45" s="35"/>
      <c r="D45" s="6" t="s">
        <v>15</v>
      </c>
      <c r="E45" s="12" t="s">
        <v>227</v>
      </c>
    </row>
    <row r="46" customFormat="false" ht="15" hidden="false" customHeight="false" outlineLevel="0" collapsed="false">
      <c r="A46" s="7" t="s">
        <v>228</v>
      </c>
      <c r="B46" s="41" t="n">
        <f aca="false">821/192</f>
        <v>4.27604166666667</v>
      </c>
      <c r="C46" s="35"/>
      <c r="D46" s="6" t="s">
        <v>15</v>
      </c>
      <c r="E46" s="12" t="s">
        <v>229</v>
      </c>
    </row>
    <row r="47" customFormat="false" ht="15" hidden="false" customHeight="false" outlineLevel="0" collapsed="false">
      <c r="A47" s="7" t="s">
        <v>230</v>
      </c>
      <c r="B47" s="27" t="n">
        <f aca="false">2107/6227</f>
        <v>0.338365183876666</v>
      </c>
      <c r="C47" s="35"/>
      <c r="D47" s="6" t="s">
        <v>198</v>
      </c>
      <c r="E47" s="12" t="s">
        <v>231</v>
      </c>
    </row>
    <row r="48" customFormat="false" ht="15" hidden="false" customHeight="false" outlineLevel="0" collapsed="false">
      <c r="A48" s="7" t="s">
        <v>232</v>
      </c>
      <c r="B48" s="38" t="n">
        <v>50</v>
      </c>
      <c r="C48" s="35"/>
      <c r="D48" s="6" t="s">
        <v>233</v>
      </c>
      <c r="E48" s="12" t="s">
        <v>67</v>
      </c>
    </row>
    <row r="49" customFormat="false" ht="15" hidden="false" customHeight="false" outlineLevel="0" collapsed="false">
      <c r="A49" s="7" t="s">
        <v>234</v>
      </c>
      <c r="B49" s="39" t="n">
        <f aca="false">3080/2112</f>
        <v>1.45833333333333</v>
      </c>
      <c r="C49" s="35"/>
      <c r="D49" s="6" t="s">
        <v>201</v>
      </c>
      <c r="E49" s="12" t="s">
        <v>235</v>
      </c>
    </row>
    <row r="50" customFormat="false" ht="22.35" hidden="false" customHeight="false" outlineLevel="0" collapsed="false">
      <c r="A50" s="7" t="s">
        <v>236</v>
      </c>
      <c r="B50" s="39" t="n">
        <f aca="false">2584/2112</f>
        <v>1.22348484848485</v>
      </c>
      <c r="C50" s="35"/>
      <c r="D50" s="6" t="s">
        <v>201</v>
      </c>
      <c r="E50" s="12" t="s">
        <v>237</v>
      </c>
    </row>
    <row r="51" customFormat="false" ht="15" hidden="false" customHeight="false" outlineLevel="0" collapsed="false">
      <c r="A51" s="7" t="s">
        <v>238</v>
      </c>
      <c r="B51" s="43" t="n">
        <v>700</v>
      </c>
      <c r="C51" s="35"/>
      <c r="D51" s="6" t="s">
        <v>239</v>
      </c>
      <c r="E51" s="12" t="s">
        <v>240</v>
      </c>
    </row>
    <row r="52" customFormat="false" ht="15" hidden="false" customHeight="false" outlineLevel="0" collapsed="false">
      <c r="A52" s="7" t="s">
        <v>241</v>
      </c>
      <c r="B52" s="40" t="n">
        <v>0.04</v>
      </c>
      <c r="C52" s="35"/>
      <c r="D52" s="6"/>
      <c r="E52" s="12" t="s">
        <v>67</v>
      </c>
    </row>
    <row r="53" customFormat="false" ht="15" hidden="false" customHeight="false" outlineLevel="0" collapsed="false">
      <c r="A53" s="7" t="s">
        <v>242</v>
      </c>
      <c r="B53" s="40" t="n">
        <v>0.18</v>
      </c>
      <c r="C53" s="35"/>
      <c r="D53" s="6"/>
      <c r="E53" s="12" t="s">
        <v>67</v>
      </c>
    </row>
    <row r="54" customFormat="false" ht="15" hidden="false" customHeight="false" outlineLevel="0" collapsed="false">
      <c r="A54" s="7" t="s">
        <v>243</v>
      </c>
      <c r="B54" s="40" t="n">
        <v>0.2</v>
      </c>
      <c r="C54" s="35"/>
      <c r="D54" s="6"/>
      <c r="E54" s="12" t="s">
        <v>244</v>
      </c>
    </row>
    <row r="55" customFormat="false" ht="15" hidden="false" customHeight="false" outlineLevel="0" collapsed="false">
      <c r="A55" s="7" t="s">
        <v>245</v>
      </c>
      <c r="B55" s="36" t="n">
        <v>7</v>
      </c>
      <c r="C55" s="35"/>
      <c r="D55" s="6" t="s">
        <v>246</v>
      </c>
      <c r="E55" s="12" t="s">
        <v>247</v>
      </c>
    </row>
    <row r="56" customFormat="false" ht="15" hidden="false" customHeight="false" outlineLevel="0" collapsed="false">
      <c r="A56" s="7" t="s">
        <v>248</v>
      </c>
      <c r="B56" s="40" t="n">
        <v>0.982</v>
      </c>
      <c r="C56" s="35"/>
      <c r="D56" s="6"/>
      <c r="E56" s="12" t="s">
        <v>249</v>
      </c>
    </row>
    <row r="57" customFormat="false" ht="15" hidden="false" customHeight="false" outlineLevel="0" collapsed="false">
      <c r="A57" s="7" t="s">
        <v>250</v>
      </c>
      <c r="B57" s="36" t="n">
        <v>139829</v>
      </c>
      <c r="C57" s="35"/>
      <c r="D57" s="6" t="s">
        <v>251</v>
      </c>
      <c r="E57" s="12" t="s">
        <v>64</v>
      </c>
    </row>
    <row r="58" customFormat="false" ht="15" hidden="false" customHeight="false" outlineLevel="0" collapsed="false">
      <c r="A58" s="7" t="s">
        <v>252</v>
      </c>
      <c r="B58" s="36" t="n">
        <v>3224.24</v>
      </c>
      <c r="C58" s="35"/>
      <c r="D58" s="6" t="s">
        <v>251</v>
      </c>
      <c r="E58" s="12" t="s">
        <v>70</v>
      </c>
    </row>
    <row r="59" customFormat="false" ht="15" hidden="false" customHeight="false" outlineLevel="0" collapsed="false">
      <c r="A59" s="7" t="s">
        <v>253</v>
      </c>
      <c r="B59" s="36" t="n">
        <v>11237</v>
      </c>
      <c r="C59" s="35"/>
      <c r="D59" s="6" t="s">
        <v>251</v>
      </c>
      <c r="E59" s="12" t="s">
        <v>254</v>
      </c>
    </row>
    <row r="60" customFormat="false" ht="15" hidden="false" customHeight="false" outlineLevel="0" collapsed="false">
      <c r="A60" s="7" t="s">
        <v>255</v>
      </c>
      <c r="B60" s="36" t="n">
        <v>4741.82</v>
      </c>
      <c r="C60" s="35"/>
      <c r="D60" s="6" t="s">
        <v>251</v>
      </c>
      <c r="E60" s="12" t="s">
        <v>256</v>
      </c>
    </row>
    <row r="61" customFormat="false" ht="22.35" hidden="false" customHeight="false" outlineLevel="0" collapsed="false">
      <c r="A61" s="7" t="s">
        <v>257</v>
      </c>
      <c r="B61" s="36" t="n">
        <v>7096</v>
      </c>
      <c r="C61" s="35"/>
      <c r="D61" s="6" t="s">
        <v>251</v>
      </c>
      <c r="E61" s="12" t="s">
        <v>77</v>
      </c>
    </row>
    <row r="62" customFormat="false" ht="15" hidden="false" customHeight="false" outlineLevel="0" collapsed="false">
      <c r="A62" s="7" t="s">
        <v>258</v>
      </c>
      <c r="B62" s="36" t="n">
        <v>9000</v>
      </c>
      <c r="C62" s="35"/>
      <c r="D62" s="6" t="s">
        <v>251</v>
      </c>
      <c r="E62" s="12" t="s">
        <v>84</v>
      </c>
    </row>
    <row r="63" customFormat="false" ht="22.35" hidden="false" customHeight="false" outlineLevel="0" collapsed="false">
      <c r="A63" s="7" t="s">
        <v>259</v>
      </c>
      <c r="B63" s="36" t="n">
        <v>717.75</v>
      </c>
      <c r="C63" s="35"/>
      <c r="D63" s="6" t="s">
        <v>251</v>
      </c>
      <c r="E63" s="12" t="s">
        <v>92</v>
      </c>
    </row>
    <row r="64" customFormat="false" ht="15" hidden="false" customHeight="false" outlineLevel="0" collapsed="false">
      <c r="A64" s="7" t="s">
        <v>260</v>
      </c>
      <c r="B64" s="36" t="n">
        <v>1090</v>
      </c>
      <c r="C64" s="35"/>
      <c r="D64" s="6" t="s">
        <v>251</v>
      </c>
      <c r="E64" s="1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9"/>
  </cols>
  <sheetData>
    <row r="1" customFormat="false" ht="15" hidden="false" customHeight="false" outlineLevel="0" collapsed="false">
      <c r="A1" s="1" t="s">
        <v>261</v>
      </c>
    </row>
    <row r="2" customFormat="false" ht="15" hidden="false" customHeight="false" outlineLevel="0" collapsed="false">
      <c r="A2" s="2" t="s">
        <v>262</v>
      </c>
    </row>
    <row r="4" customFormat="false" ht="15" hidden="false" customHeight="false" outlineLevel="0" collapsed="false">
      <c r="A4" s="6" t="s">
        <v>263</v>
      </c>
      <c r="B4" s="44" t="n">
        <v>49.5</v>
      </c>
    </row>
    <row r="5" customFormat="false" ht="15" hidden="false" customHeight="false" outlineLevel="0" collapsed="false">
      <c r="A5" s="6" t="s">
        <v>264</v>
      </c>
      <c r="B5" s="44" t="n">
        <v>-0.25</v>
      </c>
    </row>
    <row r="6" customFormat="false" ht="15" hidden="false" customHeight="false" outlineLevel="0" collapsed="false">
      <c r="A6" s="6" t="s">
        <v>265</v>
      </c>
      <c r="B6" s="44" t="n">
        <v>-30</v>
      </c>
    </row>
    <row r="7" customFormat="false" ht="15" hidden="false" customHeight="false" outlineLevel="0" collapsed="false">
      <c r="A7" s="6" t="s">
        <v>266</v>
      </c>
      <c r="B7" s="44" t="n">
        <v>37</v>
      </c>
    </row>
    <row r="8" customFormat="false" ht="15" hidden="false" customHeight="false" outlineLevel="0" collapsed="false">
      <c r="A8" s="6" t="s">
        <v>267</v>
      </c>
      <c r="B8" s="44" t="n">
        <v>45.93</v>
      </c>
    </row>
    <row r="9" customFormat="false" ht="15" hidden="false" customHeight="false" outlineLevel="0" collapsed="false">
      <c r="A9" s="6" t="s">
        <v>268</v>
      </c>
      <c r="B9" s="44" t="n">
        <v>17.51</v>
      </c>
    </row>
    <row r="10" customFormat="false" ht="15" hidden="false" customHeight="false" outlineLevel="0" collapsed="false">
      <c r="A10" s="6" t="s">
        <v>269</v>
      </c>
      <c r="B10" s="44" t="n">
        <v>18.51</v>
      </c>
    </row>
    <row r="11" customFormat="false" ht="15" hidden="false" customHeight="false" outlineLevel="0" collapsed="false">
      <c r="A11" s="6" t="s">
        <v>270</v>
      </c>
      <c r="B11" s="44" t="n">
        <v>1000</v>
      </c>
    </row>
    <row r="12" customFormat="false" ht="15" hidden="false" customHeight="false" outlineLevel="0" collapsed="false">
      <c r="A12" s="6" t="s">
        <v>271</v>
      </c>
      <c r="B12" s="44" t="n">
        <v>200</v>
      </c>
    </row>
    <row r="13" customFormat="false" ht="15" hidden="false" customHeight="false" outlineLevel="0" collapsed="false">
      <c r="A13" s="6" t="s">
        <v>272</v>
      </c>
      <c r="B13" s="44" t="n">
        <v>850</v>
      </c>
    </row>
    <row r="14" customFormat="false" ht="15" hidden="false" customHeight="false" outlineLevel="0" collapsed="false">
      <c r="A14" s="6" t="s">
        <v>273</v>
      </c>
      <c r="B14" s="44" t="n">
        <v>250</v>
      </c>
    </row>
    <row r="15" customFormat="false" ht="15" hidden="false" customHeight="false" outlineLevel="0" collapsed="false">
      <c r="A15" s="6" t="s">
        <v>274</v>
      </c>
      <c r="B15" s="44" t="n">
        <v>40</v>
      </c>
    </row>
    <row r="16" customFormat="false" ht="15" hidden="false" customHeight="false" outlineLevel="0" collapsed="false">
      <c r="A16" s="6" t="s">
        <v>275</v>
      </c>
      <c r="B16" s="44" t="n">
        <v>60</v>
      </c>
    </row>
    <row r="18" customFormat="false" ht="37.5" hidden="false" customHeight="true" outlineLevel="0" collapsed="false">
      <c r="A18" s="3" t="s">
        <v>276</v>
      </c>
      <c r="B18" s="3" t="s">
        <v>165</v>
      </c>
      <c r="C18" s="3" t="s">
        <v>277</v>
      </c>
      <c r="D18" s="3" t="s">
        <v>278</v>
      </c>
      <c r="E18" s="3" t="s">
        <v>266</v>
      </c>
      <c r="F18" s="3" t="s">
        <v>279</v>
      </c>
      <c r="G18" s="3" t="s">
        <v>267</v>
      </c>
      <c r="H18" s="3" t="s">
        <v>280</v>
      </c>
      <c r="I18" s="3" t="s">
        <v>281</v>
      </c>
      <c r="J18" s="3" t="s">
        <v>282</v>
      </c>
      <c r="K18" s="3" t="s">
        <v>283</v>
      </c>
      <c r="L18" s="3" t="s">
        <v>284</v>
      </c>
    </row>
    <row r="19" customFormat="false" ht="15" hidden="false" customHeight="false" outlineLevel="0" collapsed="false">
      <c r="A19" s="6" t="s">
        <v>147</v>
      </c>
      <c r="B19" s="8" t="n">
        <f aca="false">Параметри!B13</f>
        <v>13</v>
      </c>
      <c r="C19" s="25" t="n">
        <f aca="false">B19*$B$4*(1+$B$5/100*($B$6-25))</f>
        <v>731.98125</v>
      </c>
      <c r="D19" s="6" t="str">
        <f aca="false">IF(C19&lt;=$B$11,"так","ні")</f>
        <v>так</v>
      </c>
      <c r="E19" s="25" t="n">
        <f aca="false">B19*$B$7</f>
        <v>481</v>
      </c>
      <c r="F19" s="6" t="str">
        <f aca="false">IF(AND(E19&gt;=$B$12,E19&gt;=$B$14),"так","ні")</f>
        <v>так</v>
      </c>
      <c r="G19" s="25" t="n">
        <f aca="false">B19*$B$8</f>
        <v>597.09</v>
      </c>
      <c r="H19" s="6" t="str">
        <f aca="false">IF(G19&lt;=$B$13,"так","ні")</f>
        <v>так</v>
      </c>
      <c r="I19" s="25" t="n">
        <f aca="false">2*$B$9</f>
        <v>35.02</v>
      </c>
      <c r="J19" s="6" t="str">
        <f aca="false">IF(I19&lt;=$B$15,"так","ні")</f>
        <v>так</v>
      </c>
      <c r="K19" s="25" t="n">
        <f aca="false">2*$B$10</f>
        <v>37.02</v>
      </c>
      <c r="L19" s="6" t="str">
        <f aca="false">IF(K19&lt;=$B$16,"так","ні")</f>
        <v>так</v>
      </c>
    </row>
    <row r="20" customFormat="false" ht="15" hidden="false" customHeight="false" outlineLevel="0" collapsed="false">
      <c r="A20" s="6" t="s">
        <v>148</v>
      </c>
      <c r="B20" s="8" t="n">
        <f aca="false">Параметри!C13</f>
        <v>12</v>
      </c>
      <c r="C20" s="25" t="n">
        <f aca="false">B20*$B$4*(1+$B$5/100*($B$6-25))</f>
        <v>675.675</v>
      </c>
      <c r="D20" s="6" t="str">
        <f aca="false">IF(C20&lt;=$B$11,"так","ні")</f>
        <v>так</v>
      </c>
      <c r="E20" s="25" t="n">
        <f aca="false">B20*$B$7</f>
        <v>444</v>
      </c>
      <c r="F20" s="6" t="str">
        <f aca="false">IF(AND(E20&gt;=$B$12,E20&gt;=$B$14),"так","ні")</f>
        <v>так</v>
      </c>
      <c r="G20" s="25" t="n">
        <f aca="false">B20*$B$8</f>
        <v>551.16</v>
      </c>
      <c r="H20" s="6" t="str">
        <f aca="false">IF(G20&lt;=$B$13,"так","ні")</f>
        <v>так</v>
      </c>
      <c r="I20" s="25" t="n">
        <f aca="false">2*$B$9</f>
        <v>35.02</v>
      </c>
      <c r="J20" s="6" t="str">
        <f aca="false">IF(I20&lt;=$B$15,"так","ні")</f>
        <v>так</v>
      </c>
      <c r="K20" s="25" t="n">
        <f aca="false">2*$B$10</f>
        <v>37.02</v>
      </c>
      <c r="L20" s="6" t="str">
        <f aca="false">IF(K20&lt;=$B$16,"так","ні")</f>
        <v>так</v>
      </c>
    </row>
    <row r="22" customFormat="false" ht="25.5" hidden="false" customHeight="true" outlineLevel="0" collapsed="false">
      <c r="A22" s="3" t="s">
        <v>276</v>
      </c>
      <c r="B22" s="3" t="s">
        <v>285</v>
      </c>
      <c r="C22" s="3" t="s">
        <v>286</v>
      </c>
      <c r="D22" s="3" t="s">
        <v>287</v>
      </c>
      <c r="E22" s="3" t="s">
        <v>288</v>
      </c>
      <c r="F22" s="3" t="s">
        <v>289</v>
      </c>
      <c r="G22" s="3" t="s">
        <v>290</v>
      </c>
      <c r="H22" s="3" t="s">
        <v>291</v>
      </c>
      <c r="I22" s="3" t="s">
        <v>292</v>
      </c>
      <c r="J22" s="3" t="s">
        <v>293</v>
      </c>
    </row>
    <row r="23" customFormat="false" ht="15" hidden="false" customHeight="false" outlineLevel="0" collapsed="false">
      <c r="A23" s="6" t="s">
        <v>147</v>
      </c>
      <c r="B23" s="6" t="s">
        <v>294</v>
      </c>
      <c r="C23" s="6" t="n">
        <v>1</v>
      </c>
      <c r="D23" s="44" t="n">
        <v>13</v>
      </c>
      <c r="E23" s="6" t="s">
        <v>295</v>
      </c>
      <c r="F23" s="6" t="s">
        <v>296</v>
      </c>
      <c r="G23" s="45" t="n">
        <v>3</v>
      </c>
      <c r="H23" s="42" t="n">
        <v>9.314</v>
      </c>
      <c r="I23" s="45" t="n">
        <v>1.3</v>
      </c>
      <c r="J23" s="32" t="n">
        <v>66.6</v>
      </c>
    </row>
    <row r="24" customFormat="false" ht="15" hidden="false" customHeight="false" outlineLevel="0" collapsed="false">
      <c r="A24" s="6" t="s">
        <v>147</v>
      </c>
      <c r="B24" s="6" t="s">
        <v>297</v>
      </c>
      <c r="C24" s="6" t="n">
        <v>1</v>
      </c>
      <c r="D24" s="44" t="n">
        <v>13</v>
      </c>
      <c r="E24" s="6" t="s">
        <v>295</v>
      </c>
      <c r="F24" s="6" t="s">
        <v>296</v>
      </c>
      <c r="G24" s="45" t="n">
        <v>7.1</v>
      </c>
      <c r="H24" s="42" t="n">
        <v>9.352</v>
      </c>
      <c r="I24" s="45" t="n">
        <v>1.1</v>
      </c>
      <c r="J24" s="32" t="n">
        <v>71.9</v>
      </c>
    </row>
    <row r="25" customFormat="false" ht="15" hidden="false" customHeight="false" outlineLevel="0" collapsed="false">
      <c r="A25" s="6" t="s">
        <v>147</v>
      </c>
      <c r="B25" s="6" t="s">
        <v>298</v>
      </c>
      <c r="C25" s="6" t="n">
        <v>2</v>
      </c>
      <c r="D25" s="44" t="n">
        <v>13</v>
      </c>
      <c r="E25" s="6" t="s">
        <v>295</v>
      </c>
      <c r="F25" s="6" t="s">
        <v>296</v>
      </c>
      <c r="G25" s="45" t="n">
        <v>10.8</v>
      </c>
      <c r="H25" s="42" t="n">
        <v>9.333</v>
      </c>
      <c r="I25" s="45" t="n">
        <v>1</v>
      </c>
      <c r="J25" s="32" t="n">
        <v>77.4</v>
      </c>
    </row>
    <row r="26" customFormat="false" ht="15" hidden="false" customHeight="false" outlineLevel="0" collapsed="false">
      <c r="A26" s="6" t="s">
        <v>147</v>
      </c>
      <c r="B26" s="6" t="s">
        <v>299</v>
      </c>
      <c r="C26" s="6" t="n">
        <v>2</v>
      </c>
      <c r="D26" s="44" t="n">
        <v>13</v>
      </c>
      <c r="E26" s="6" t="s">
        <v>300</v>
      </c>
      <c r="F26" s="6" t="s">
        <v>296</v>
      </c>
      <c r="G26" s="45" t="n">
        <v>13.1</v>
      </c>
      <c r="H26" s="42" t="n">
        <v>8.837</v>
      </c>
      <c r="I26" s="45" t="n">
        <v>3.7</v>
      </c>
      <c r="J26" s="32" t="n">
        <v>73.7</v>
      </c>
    </row>
    <row r="27" customFormat="false" ht="15" hidden="false" customHeight="false" outlineLevel="0" collapsed="false">
      <c r="A27" s="6" t="s">
        <v>147</v>
      </c>
      <c r="B27" s="6" t="s">
        <v>301</v>
      </c>
      <c r="C27" s="6" t="n">
        <v>3</v>
      </c>
      <c r="D27" s="44" t="n">
        <v>13</v>
      </c>
      <c r="E27" s="6" t="s">
        <v>295</v>
      </c>
      <c r="F27" s="6" t="s">
        <v>302</v>
      </c>
      <c r="G27" s="45" t="n">
        <v>3.2</v>
      </c>
      <c r="H27" s="42" t="n">
        <v>9.259</v>
      </c>
      <c r="I27" s="45" t="n">
        <v>1.2</v>
      </c>
      <c r="J27" s="32" t="n">
        <v>68.1</v>
      </c>
    </row>
    <row r="28" customFormat="false" ht="15" hidden="false" customHeight="false" outlineLevel="0" collapsed="false">
      <c r="A28" s="6" t="s">
        <v>147</v>
      </c>
      <c r="B28" s="6" t="s">
        <v>303</v>
      </c>
      <c r="C28" s="6" t="n">
        <v>3</v>
      </c>
      <c r="D28" s="44" t="n">
        <v>13</v>
      </c>
      <c r="E28" s="6" t="s">
        <v>295</v>
      </c>
      <c r="F28" s="6" t="s">
        <v>302</v>
      </c>
      <c r="G28" s="45" t="n">
        <v>3.6</v>
      </c>
      <c r="H28" s="42" t="n">
        <v>8.854</v>
      </c>
      <c r="I28" s="45" t="n">
        <v>5.2</v>
      </c>
      <c r="J28" s="32" t="n">
        <v>69.9</v>
      </c>
    </row>
    <row r="29" customFormat="false" ht="15" hidden="false" customHeight="false" outlineLevel="0" collapsed="false">
      <c r="A29" s="6" t="s">
        <v>147</v>
      </c>
      <c r="B29" s="6" t="s">
        <v>304</v>
      </c>
      <c r="C29" s="6" t="n">
        <v>4</v>
      </c>
      <c r="D29" s="44" t="n">
        <v>13</v>
      </c>
      <c r="E29" s="6" t="s">
        <v>295</v>
      </c>
      <c r="F29" s="6" t="s">
        <v>302</v>
      </c>
      <c r="G29" s="45" t="n">
        <v>7.6</v>
      </c>
      <c r="H29" s="42" t="n">
        <v>9.138</v>
      </c>
      <c r="I29" s="45" t="n">
        <v>1.2</v>
      </c>
      <c r="J29" s="32" t="n">
        <v>75.2</v>
      </c>
    </row>
    <row r="30" customFormat="false" ht="15" hidden="false" customHeight="false" outlineLevel="0" collapsed="false">
      <c r="A30" s="6" t="s">
        <v>147</v>
      </c>
      <c r="B30" s="6" t="s">
        <v>305</v>
      </c>
      <c r="C30" s="6" t="n">
        <v>4</v>
      </c>
      <c r="D30" s="44" t="n">
        <v>13</v>
      </c>
      <c r="E30" s="6" t="s">
        <v>300</v>
      </c>
      <c r="F30" s="6" t="s">
        <v>302</v>
      </c>
      <c r="G30" s="45" t="n">
        <v>11.6</v>
      </c>
      <c r="H30" s="42" t="n">
        <v>8.36</v>
      </c>
      <c r="I30" s="45" t="n">
        <v>4.5</v>
      </c>
      <c r="J30" s="32" t="n">
        <v>86.4</v>
      </c>
    </row>
    <row r="31" customFormat="false" ht="15" hidden="false" customHeight="false" outlineLevel="0" collapsed="false">
      <c r="A31" s="6" t="s">
        <v>147</v>
      </c>
      <c r="B31" s="6" t="s">
        <v>306</v>
      </c>
      <c r="C31" s="6" t="n">
        <v>5</v>
      </c>
      <c r="D31" s="44" t="n">
        <v>13</v>
      </c>
      <c r="E31" s="6" t="s">
        <v>307</v>
      </c>
      <c r="F31" s="6" t="s">
        <v>302</v>
      </c>
      <c r="G31" s="45" t="n">
        <v>15</v>
      </c>
      <c r="H31" s="42" t="n">
        <v>8.064</v>
      </c>
      <c r="I31" s="45" t="n">
        <v>1.6</v>
      </c>
      <c r="J31" s="32" t="n">
        <v>37.4</v>
      </c>
    </row>
    <row r="32" customFormat="false" ht="15" hidden="false" customHeight="false" outlineLevel="0" collapsed="false">
      <c r="A32" s="6" t="s">
        <v>147</v>
      </c>
      <c r="B32" s="6" t="s">
        <v>308</v>
      </c>
      <c r="C32" s="6" t="n">
        <v>5</v>
      </c>
      <c r="D32" s="44" t="n">
        <v>13</v>
      </c>
      <c r="E32" s="6" t="s">
        <v>307</v>
      </c>
      <c r="F32" s="6" t="s">
        <v>296</v>
      </c>
      <c r="G32" s="45" t="n">
        <v>15</v>
      </c>
      <c r="H32" s="42" t="n">
        <v>7.558</v>
      </c>
      <c r="I32" s="45" t="n">
        <v>2.7</v>
      </c>
      <c r="J32" s="32" t="n">
        <v>34.6</v>
      </c>
    </row>
    <row r="33" customFormat="false" ht="15" hidden="false" customHeight="false" outlineLevel="0" collapsed="false">
      <c r="A33" s="6" t="s">
        <v>147</v>
      </c>
      <c r="B33" s="6" t="s">
        <v>309</v>
      </c>
      <c r="C33" s="6" t="n">
        <v>6</v>
      </c>
      <c r="D33" s="44" t="n">
        <v>13</v>
      </c>
      <c r="E33" s="6" t="s">
        <v>310</v>
      </c>
      <c r="F33" s="6" t="s">
        <v>311</v>
      </c>
      <c r="G33" s="45" t="n">
        <v>66.9</v>
      </c>
      <c r="H33" s="42" t="n">
        <v>6.307</v>
      </c>
      <c r="I33" s="45" t="n">
        <v>11.2</v>
      </c>
      <c r="J33" s="32" t="n">
        <v>24.6</v>
      </c>
    </row>
    <row r="34" customFormat="false" ht="15" hidden="false" customHeight="false" outlineLevel="0" collapsed="false">
      <c r="A34" s="4" t="s">
        <v>312</v>
      </c>
      <c r="B34" s="4"/>
      <c r="C34" s="4"/>
      <c r="D34" s="4" t="n">
        <f aca="false">SUM(D23:D33)</f>
        <v>143</v>
      </c>
      <c r="E34" s="4"/>
      <c r="F34" s="4"/>
      <c r="G34" s="4"/>
      <c r="H34" s="46" t="n">
        <f aca="false">SUM(H23:H33)</f>
        <v>94.376</v>
      </c>
      <c r="I34" s="4"/>
      <c r="J34" s="47" t="n">
        <f aca="false">SUM(J23:J33)</f>
        <v>685.8</v>
      </c>
    </row>
    <row r="36" customFormat="false" ht="15" hidden="false" customHeight="false" outlineLevel="0" collapsed="false">
      <c r="A36" s="6" t="s">
        <v>148</v>
      </c>
      <c r="B36" s="6" t="s">
        <v>297</v>
      </c>
      <c r="C36" s="6" t="n">
        <v>1</v>
      </c>
      <c r="D36" s="44" t="n">
        <v>12</v>
      </c>
      <c r="E36" s="6" t="s">
        <v>295</v>
      </c>
      <c r="F36" s="6" t="s">
        <v>296</v>
      </c>
      <c r="G36" s="45" t="n">
        <v>3.1</v>
      </c>
      <c r="H36" s="42" t="n">
        <v>8.584</v>
      </c>
      <c r="I36" s="45" t="n">
        <v>1.4</v>
      </c>
      <c r="J36" s="32" t="n">
        <v>68.1</v>
      </c>
    </row>
    <row r="37" customFormat="false" ht="15" hidden="false" customHeight="false" outlineLevel="0" collapsed="false">
      <c r="A37" s="6" t="s">
        <v>148</v>
      </c>
      <c r="B37" s="6" t="s">
        <v>305</v>
      </c>
      <c r="C37" s="6" t="n">
        <v>1</v>
      </c>
      <c r="D37" s="44" t="n">
        <v>12</v>
      </c>
      <c r="E37" s="6" t="s">
        <v>295</v>
      </c>
      <c r="F37" s="6" t="s">
        <v>296</v>
      </c>
      <c r="G37" s="45" t="n">
        <v>9</v>
      </c>
      <c r="H37" s="42" t="n">
        <v>8.45</v>
      </c>
      <c r="I37" s="45" t="n">
        <v>3</v>
      </c>
      <c r="J37" s="32" t="n">
        <v>82.6</v>
      </c>
    </row>
    <row r="38" customFormat="false" ht="15" hidden="false" customHeight="false" outlineLevel="0" collapsed="false">
      <c r="A38" s="6" t="s">
        <v>148</v>
      </c>
      <c r="B38" s="6" t="s">
        <v>298</v>
      </c>
      <c r="C38" s="6" t="n">
        <v>2</v>
      </c>
      <c r="D38" s="44" t="n">
        <v>12</v>
      </c>
      <c r="E38" s="6" t="s">
        <v>295</v>
      </c>
      <c r="F38" s="6" t="s">
        <v>296</v>
      </c>
      <c r="G38" s="45" t="n">
        <v>10.9</v>
      </c>
      <c r="H38" s="42" t="n">
        <v>8.616</v>
      </c>
      <c r="I38" s="45" t="n">
        <v>1</v>
      </c>
      <c r="J38" s="32" t="n">
        <v>77.9</v>
      </c>
    </row>
    <row r="39" customFormat="false" ht="15" hidden="false" customHeight="false" outlineLevel="0" collapsed="false">
      <c r="A39" s="6" t="s">
        <v>148</v>
      </c>
      <c r="B39" s="6" t="s">
        <v>299</v>
      </c>
      <c r="C39" s="6" t="n">
        <v>2</v>
      </c>
      <c r="D39" s="44" t="n">
        <v>12</v>
      </c>
      <c r="E39" s="6" t="s">
        <v>313</v>
      </c>
      <c r="F39" s="6" t="s">
        <v>296</v>
      </c>
      <c r="G39" s="45" t="n">
        <v>14</v>
      </c>
      <c r="H39" s="42" t="n">
        <v>7.905</v>
      </c>
      <c r="I39" s="45" t="n">
        <v>4.3</v>
      </c>
      <c r="J39" s="32" t="n">
        <v>57.4</v>
      </c>
    </row>
    <row r="40" customFormat="false" ht="15" hidden="false" customHeight="false" outlineLevel="0" collapsed="false">
      <c r="A40" s="6" t="s">
        <v>148</v>
      </c>
      <c r="B40" s="6" t="s">
        <v>294</v>
      </c>
      <c r="C40" s="6" t="n">
        <v>3</v>
      </c>
      <c r="D40" s="44" t="n">
        <v>12</v>
      </c>
      <c r="E40" s="6" t="s">
        <v>295</v>
      </c>
      <c r="F40" s="6" t="s">
        <v>302</v>
      </c>
      <c r="G40" s="45" t="n">
        <v>3.1</v>
      </c>
      <c r="H40" s="42" t="n">
        <v>8.529</v>
      </c>
      <c r="I40" s="45" t="n">
        <v>1.3</v>
      </c>
      <c r="J40" s="32" t="n">
        <v>65.2</v>
      </c>
    </row>
    <row r="41" customFormat="false" ht="15" hidden="false" customHeight="false" outlineLevel="0" collapsed="false">
      <c r="A41" s="6" t="s">
        <v>148</v>
      </c>
      <c r="B41" s="6" t="s">
        <v>303</v>
      </c>
      <c r="C41" s="6" t="n">
        <v>3</v>
      </c>
      <c r="D41" s="44" t="n">
        <v>12</v>
      </c>
      <c r="E41" s="6" t="s">
        <v>295</v>
      </c>
      <c r="F41" s="6" t="s">
        <v>302</v>
      </c>
      <c r="G41" s="45" t="n">
        <v>4</v>
      </c>
      <c r="H41" s="42" t="n">
        <v>8.165</v>
      </c>
      <c r="I41" s="45" t="n">
        <v>5</v>
      </c>
      <c r="J41" s="32" t="n">
        <v>77.3</v>
      </c>
    </row>
    <row r="42" customFormat="false" ht="15" hidden="false" customHeight="false" outlineLevel="0" collapsed="false">
      <c r="A42" s="6" t="s">
        <v>148</v>
      </c>
      <c r="B42" s="6" t="s">
        <v>304</v>
      </c>
      <c r="C42" s="6" t="n">
        <v>4</v>
      </c>
      <c r="D42" s="44" t="n">
        <v>12</v>
      </c>
      <c r="E42" s="6" t="s">
        <v>295</v>
      </c>
      <c r="F42" s="6" t="s">
        <v>302</v>
      </c>
      <c r="G42" s="45" t="n">
        <v>11.4</v>
      </c>
      <c r="H42" s="42" t="n">
        <v>8.276</v>
      </c>
      <c r="I42" s="45" t="n">
        <v>1.2</v>
      </c>
      <c r="J42" s="32" t="n">
        <v>80.8</v>
      </c>
    </row>
    <row r="43" customFormat="false" ht="15" hidden="false" customHeight="false" outlineLevel="0" collapsed="false">
      <c r="A43" s="6" t="s">
        <v>148</v>
      </c>
      <c r="B43" s="6" t="s">
        <v>301</v>
      </c>
      <c r="C43" s="6" t="n">
        <v>4</v>
      </c>
      <c r="D43" s="44" t="n">
        <v>12</v>
      </c>
      <c r="E43" s="6" t="s">
        <v>295</v>
      </c>
      <c r="F43" s="6" t="s">
        <v>302</v>
      </c>
      <c r="G43" s="45" t="n">
        <v>7.7</v>
      </c>
      <c r="H43" s="42" t="n">
        <v>8.416</v>
      </c>
      <c r="I43" s="45" t="n">
        <v>1.3</v>
      </c>
      <c r="J43" s="32" t="n">
        <v>76.7</v>
      </c>
    </row>
    <row r="44" customFormat="false" ht="15" hidden="false" customHeight="false" outlineLevel="0" collapsed="false">
      <c r="A44" s="6" t="s">
        <v>148</v>
      </c>
      <c r="B44" s="6" t="s">
        <v>306</v>
      </c>
      <c r="C44" s="6" t="n">
        <v>5</v>
      </c>
      <c r="D44" s="44" t="n">
        <v>12</v>
      </c>
      <c r="E44" s="6" t="s">
        <v>307</v>
      </c>
      <c r="F44" s="6" t="s">
        <v>302</v>
      </c>
      <c r="G44" s="45" t="n">
        <v>15</v>
      </c>
      <c r="H44" s="42" t="n">
        <v>7.385</v>
      </c>
      <c r="I44" s="45" t="n">
        <v>1.6</v>
      </c>
      <c r="J44" s="32" t="n">
        <v>38.4</v>
      </c>
    </row>
    <row r="45" customFormat="false" ht="15" hidden="false" customHeight="false" outlineLevel="0" collapsed="false">
      <c r="A45" s="6" t="s">
        <v>148</v>
      </c>
      <c r="B45" s="6" t="s">
        <v>308</v>
      </c>
      <c r="C45" s="6" t="n">
        <v>5</v>
      </c>
      <c r="D45" s="44" t="n">
        <v>12</v>
      </c>
      <c r="E45" s="6" t="s">
        <v>307</v>
      </c>
      <c r="F45" s="6" t="s">
        <v>296</v>
      </c>
      <c r="G45" s="45" t="n">
        <v>15</v>
      </c>
      <c r="H45" s="42" t="n">
        <v>6.855</v>
      </c>
      <c r="I45" s="45" t="n">
        <v>2.8</v>
      </c>
      <c r="J45" s="32" t="n">
        <v>35.6</v>
      </c>
    </row>
    <row r="46" customFormat="false" ht="15" hidden="false" customHeight="false" outlineLevel="0" collapsed="false">
      <c r="A46" s="6" t="s">
        <v>148</v>
      </c>
      <c r="B46" s="6" t="s">
        <v>309</v>
      </c>
      <c r="C46" s="6" t="n">
        <v>6</v>
      </c>
      <c r="D46" s="44" t="n">
        <v>12</v>
      </c>
      <c r="E46" s="6" t="s">
        <v>314</v>
      </c>
      <c r="F46" s="6" t="s">
        <v>311</v>
      </c>
      <c r="G46" s="45" t="n">
        <v>71.2</v>
      </c>
      <c r="H46" s="42" t="n">
        <v>5.914</v>
      </c>
      <c r="I46" s="45" t="n">
        <v>10.4</v>
      </c>
      <c r="J46" s="32" t="n">
        <v>28.2</v>
      </c>
    </row>
    <row r="47" customFormat="false" ht="15" hidden="false" customHeight="false" outlineLevel="0" collapsed="false">
      <c r="A47" s="4" t="s">
        <v>315</v>
      </c>
      <c r="B47" s="4"/>
      <c r="C47" s="4"/>
      <c r="D47" s="4" t="n">
        <f aca="false">SUM(D36:D46)</f>
        <v>132</v>
      </c>
      <c r="E47" s="4"/>
      <c r="F47" s="4"/>
      <c r="G47" s="4"/>
      <c r="H47" s="46" t="n">
        <f aca="false">SUM(H36:H46)</f>
        <v>87.095</v>
      </c>
      <c r="I47" s="4"/>
      <c r="J47" s="47" t="n">
        <f aca="false">SUM(J36:J46)</f>
        <v>688.2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2026-10-28T14:36:53Z</dcterms:created>
  <dc:creator>openpyxl</dc:creator>
  <dc:description/>
  <dc:language>en-US</dc:language>
  <cp:lastModifiedBy/>
  <dcterms:modified xsi:type="dcterms:W3CDTF">2026-10-28T14:36:53Z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